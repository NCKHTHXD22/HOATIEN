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95" windowWidth="28800" windowHeight="16185"/>
  </bookViews>
  <sheets>
    <sheet name="Sheet1" sheetId="4" r:id="rId1"/>
    <sheet name="Sheet2" sheetId="2" r:id="rId2"/>
    <sheet name="Sheet3" sheetId="3" r:id="rId3"/>
  </sheets>
  <definedNames>
    <definedName name="_xlnm._FilterDatabase" localSheetId="0" hidden="1">Sheet1!$A$5:$Q$290</definedName>
    <definedName name="_xlnm.Print_Titles" localSheetId="0">Sheet1!$5:$6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1" i="4" l="1"/>
  <c r="L291" i="4"/>
  <c r="K291" i="4"/>
  <c r="J291" i="4"/>
  <c r="I291" i="4"/>
  <c r="H291" i="4"/>
  <c r="Q209" i="4"/>
  <c r="Q210" i="4"/>
  <c r="Q211" i="4"/>
  <c r="Q212" i="4"/>
  <c r="O8" i="4"/>
  <c r="P8" i="4"/>
  <c r="Q8" i="4"/>
  <c r="O9" i="4"/>
  <c r="P9" i="4"/>
  <c r="Q9" i="4"/>
  <c r="O10" i="4"/>
  <c r="P10" i="4"/>
  <c r="Q10" i="4"/>
  <c r="O11" i="4"/>
  <c r="P11" i="4"/>
  <c r="Q11" i="4"/>
  <c r="O12" i="4"/>
  <c r="P12" i="4"/>
  <c r="Q12" i="4"/>
  <c r="O13" i="4"/>
  <c r="P13" i="4"/>
  <c r="Q13" i="4"/>
  <c r="O14" i="4"/>
  <c r="P14" i="4"/>
  <c r="Q14" i="4"/>
  <c r="O15" i="4"/>
  <c r="P15" i="4"/>
  <c r="Q15" i="4"/>
  <c r="O16" i="4"/>
  <c r="P16" i="4"/>
  <c r="Q16" i="4"/>
  <c r="O17" i="4"/>
  <c r="P17" i="4"/>
  <c r="Q17" i="4"/>
  <c r="O18" i="4"/>
  <c r="P18" i="4"/>
  <c r="Q18" i="4"/>
  <c r="O19" i="4"/>
  <c r="P19" i="4"/>
  <c r="Q19" i="4"/>
  <c r="O20" i="4"/>
  <c r="P20" i="4"/>
  <c r="Q20" i="4"/>
  <c r="O21" i="4"/>
  <c r="P21" i="4"/>
  <c r="Q21" i="4"/>
  <c r="O22" i="4"/>
  <c r="P22" i="4"/>
  <c r="Q22" i="4"/>
  <c r="O23" i="4"/>
  <c r="P23" i="4"/>
  <c r="Q23" i="4"/>
  <c r="O24" i="4"/>
  <c r="P24" i="4"/>
  <c r="Q24" i="4"/>
  <c r="O25" i="4"/>
  <c r="P25" i="4"/>
  <c r="Q25" i="4"/>
  <c r="O26" i="4"/>
  <c r="P26" i="4"/>
  <c r="Q26" i="4"/>
  <c r="O27" i="4"/>
  <c r="P27" i="4"/>
  <c r="Q27" i="4"/>
  <c r="O28" i="4"/>
  <c r="P28" i="4"/>
  <c r="Q28" i="4"/>
  <c r="O29" i="4"/>
  <c r="P29" i="4"/>
  <c r="Q29" i="4"/>
  <c r="O30" i="4"/>
  <c r="P30" i="4"/>
  <c r="Q30" i="4"/>
  <c r="O31" i="4"/>
  <c r="P31" i="4"/>
  <c r="Q31" i="4"/>
  <c r="O32" i="4"/>
  <c r="P32" i="4"/>
  <c r="Q32" i="4"/>
  <c r="O33" i="4"/>
  <c r="P33" i="4"/>
  <c r="Q33" i="4"/>
  <c r="O34" i="4"/>
  <c r="P34" i="4"/>
  <c r="Q34" i="4"/>
  <c r="O35" i="4"/>
  <c r="P35" i="4"/>
  <c r="Q35" i="4"/>
  <c r="O36" i="4"/>
  <c r="P36" i="4"/>
  <c r="Q36" i="4"/>
  <c r="O37" i="4"/>
  <c r="P37" i="4"/>
  <c r="Q37" i="4"/>
  <c r="O38" i="4"/>
  <c r="P38" i="4"/>
  <c r="Q38" i="4"/>
  <c r="O39" i="4"/>
  <c r="P39" i="4"/>
  <c r="Q39" i="4"/>
  <c r="O40" i="4"/>
  <c r="P40" i="4"/>
  <c r="Q40" i="4"/>
  <c r="O41" i="4"/>
  <c r="P41" i="4"/>
  <c r="Q41" i="4"/>
  <c r="O42" i="4"/>
  <c r="P42" i="4"/>
  <c r="Q42" i="4"/>
  <c r="O43" i="4"/>
  <c r="P43" i="4"/>
  <c r="Q43" i="4"/>
  <c r="O44" i="4"/>
  <c r="P44" i="4"/>
  <c r="Q44" i="4"/>
  <c r="O45" i="4"/>
  <c r="P45" i="4"/>
  <c r="Q45" i="4"/>
  <c r="O46" i="4"/>
  <c r="P46" i="4"/>
  <c r="Q46" i="4"/>
  <c r="O47" i="4"/>
  <c r="P47" i="4"/>
  <c r="Q47" i="4"/>
  <c r="O48" i="4"/>
  <c r="P48" i="4"/>
  <c r="Q48" i="4"/>
  <c r="O49" i="4"/>
  <c r="P49" i="4"/>
  <c r="Q49" i="4"/>
  <c r="O50" i="4"/>
  <c r="P50" i="4"/>
  <c r="Q50" i="4"/>
  <c r="O51" i="4"/>
  <c r="P51" i="4"/>
  <c r="Q51" i="4"/>
  <c r="O52" i="4"/>
  <c r="P52" i="4"/>
  <c r="Q52" i="4"/>
  <c r="O53" i="4"/>
  <c r="P53" i="4"/>
  <c r="Q53" i="4"/>
  <c r="O54" i="4"/>
  <c r="P54" i="4"/>
  <c r="Q54" i="4"/>
  <c r="O55" i="4"/>
  <c r="P55" i="4"/>
  <c r="Q55" i="4"/>
  <c r="O58" i="4"/>
  <c r="P58" i="4"/>
  <c r="Q58" i="4"/>
  <c r="O59" i="4"/>
  <c r="P59" i="4"/>
  <c r="Q59" i="4"/>
  <c r="O60" i="4"/>
  <c r="P60" i="4"/>
  <c r="Q60" i="4"/>
  <c r="O61" i="4"/>
  <c r="P61" i="4"/>
  <c r="Q61" i="4"/>
  <c r="O62" i="4"/>
  <c r="P62" i="4"/>
  <c r="Q62" i="4"/>
  <c r="O63" i="4"/>
  <c r="P63" i="4"/>
  <c r="Q63" i="4"/>
  <c r="O64" i="4"/>
  <c r="P64" i="4"/>
  <c r="Q64" i="4"/>
  <c r="O65" i="4"/>
  <c r="P65" i="4"/>
  <c r="Q65" i="4"/>
  <c r="O66" i="4"/>
  <c r="P66" i="4"/>
  <c r="Q66" i="4"/>
  <c r="O67" i="4"/>
  <c r="P67" i="4"/>
  <c r="Q67" i="4"/>
  <c r="O68" i="4"/>
  <c r="P68" i="4"/>
  <c r="Q68" i="4"/>
  <c r="O69" i="4"/>
  <c r="P69" i="4"/>
  <c r="Q69" i="4"/>
  <c r="O70" i="4"/>
  <c r="P70" i="4"/>
  <c r="Q70" i="4"/>
  <c r="O71" i="4"/>
  <c r="P71" i="4"/>
  <c r="Q71" i="4"/>
  <c r="O72" i="4"/>
  <c r="P72" i="4"/>
  <c r="Q72" i="4"/>
  <c r="O73" i="4"/>
  <c r="P73" i="4"/>
  <c r="Q73" i="4"/>
  <c r="O74" i="4"/>
  <c r="P74" i="4"/>
  <c r="Q74" i="4"/>
  <c r="O75" i="4"/>
  <c r="P75" i="4"/>
  <c r="Q75" i="4"/>
  <c r="O76" i="4"/>
  <c r="P76" i="4"/>
  <c r="Q76" i="4"/>
  <c r="O77" i="4"/>
  <c r="P77" i="4"/>
  <c r="Q77" i="4"/>
  <c r="O78" i="4"/>
  <c r="P78" i="4"/>
  <c r="Q78" i="4"/>
  <c r="O79" i="4"/>
  <c r="P79" i="4"/>
  <c r="Q79" i="4"/>
  <c r="O80" i="4"/>
  <c r="P80" i="4"/>
  <c r="Q80" i="4"/>
  <c r="O82" i="4"/>
  <c r="P82" i="4"/>
  <c r="Q82" i="4"/>
  <c r="O83" i="4"/>
  <c r="P83" i="4"/>
  <c r="Q83" i="4"/>
  <c r="O84" i="4"/>
  <c r="P84" i="4"/>
  <c r="Q84" i="4"/>
  <c r="O85" i="4"/>
  <c r="P85" i="4"/>
  <c r="Q85" i="4"/>
  <c r="O86" i="4"/>
  <c r="P86" i="4"/>
  <c r="Q86" i="4"/>
  <c r="O87" i="4"/>
  <c r="P87" i="4"/>
  <c r="Q87" i="4"/>
  <c r="O89" i="4"/>
  <c r="P89" i="4"/>
  <c r="Q89" i="4"/>
  <c r="O90" i="4"/>
  <c r="P90" i="4"/>
  <c r="Q90" i="4"/>
  <c r="O91" i="4"/>
  <c r="P91" i="4"/>
  <c r="Q91" i="4"/>
  <c r="O92" i="4"/>
  <c r="P92" i="4"/>
  <c r="Q92" i="4"/>
  <c r="O93" i="4"/>
  <c r="P93" i="4"/>
  <c r="Q93" i="4"/>
  <c r="O94" i="4"/>
  <c r="P94" i="4"/>
  <c r="Q94" i="4"/>
  <c r="O96" i="4"/>
  <c r="P96" i="4"/>
  <c r="Q96" i="4"/>
  <c r="O97" i="4"/>
  <c r="P97" i="4"/>
  <c r="Q97" i="4"/>
  <c r="O98" i="4"/>
  <c r="P98" i="4"/>
  <c r="Q98" i="4"/>
  <c r="O101" i="4"/>
  <c r="P101" i="4"/>
  <c r="Q101" i="4"/>
  <c r="O102" i="4"/>
  <c r="P102" i="4"/>
  <c r="Q102" i="4"/>
  <c r="O103" i="4"/>
  <c r="P103" i="4"/>
  <c r="Q103" i="4"/>
  <c r="O108" i="4"/>
  <c r="P108" i="4"/>
  <c r="Q108" i="4"/>
  <c r="O109" i="4"/>
  <c r="P109" i="4"/>
  <c r="Q109" i="4"/>
  <c r="O110" i="4"/>
  <c r="P110" i="4"/>
  <c r="Q110" i="4"/>
  <c r="O111" i="4"/>
  <c r="P111" i="4"/>
  <c r="Q111" i="4"/>
  <c r="O112" i="4"/>
  <c r="P112" i="4"/>
  <c r="Q112" i="4"/>
  <c r="O113" i="4"/>
  <c r="P113" i="4"/>
  <c r="Q113" i="4"/>
  <c r="O114" i="4"/>
  <c r="P114" i="4"/>
  <c r="Q114" i="4"/>
  <c r="O115" i="4"/>
  <c r="P115" i="4"/>
  <c r="Q115" i="4"/>
  <c r="O116" i="4"/>
  <c r="P116" i="4"/>
  <c r="Q116" i="4"/>
  <c r="O117" i="4"/>
  <c r="P117" i="4"/>
  <c r="Q117" i="4"/>
  <c r="O118" i="4"/>
  <c r="P118" i="4"/>
  <c r="Q118" i="4"/>
  <c r="O119" i="4"/>
  <c r="P119" i="4"/>
  <c r="Q119" i="4"/>
  <c r="O120" i="4"/>
  <c r="P120" i="4"/>
  <c r="Q120" i="4"/>
  <c r="O121" i="4"/>
  <c r="P121" i="4"/>
  <c r="Q121" i="4"/>
  <c r="O122" i="4"/>
  <c r="P122" i="4"/>
  <c r="Q122" i="4"/>
  <c r="O123" i="4"/>
  <c r="P123" i="4"/>
  <c r="Q123" i="4"/>
  <c r="O124" i="4"/>
  <c r="P124" i="4"/>
  <c r="Q124" i="4"/>
  <c r="O125" i="4"/>
  <c r="P125" i="4"/>
  <c r="Q125" i="4"/>
  <c r="O126" i="4"/>
  <c r="P126" i="4"/>
  <c r="Q126" i="4"/>
  <c r="O127" i="4"/>
  <c r="P127" i="4"/>
  <c r="Q127" i="4"/>
  <c r="O128" i="4"/>
  <c r="P128" i="4"/>
  <c r="Q128" i="4"/>
  <c r="O129" i="4"/>
  <c r="P129" i="4"/>
  <c r="Q129" i="4"/>
  <c r="O130" i="4"/>
  <c r="P130" i="4"/>
  <c r="Q130" i="4"/>
  <c r="O131" i="4"/>
  <c r="P131" i="4"/>
  <c r="Q131" i="4"/>
  <c r="O132" i="4"/>
  <c r="P132" i="4"/>
  <c r="Q132" i="4"/>
  <c r="O133" i="4"/>
  <c r="P133" i="4"/>
  <c r="Q133" i="4"/>
  <c r="O134" i="4"/>
  <c r="P134" i="4"/>
  <c r="Q134" i="4"/>
  <c r="O135" i="4"/>
  <c r="P135" i="4"/>
  <c r="Q135" i="4"/>
  <c r="O136" i="4"/>
  <c r="P136" i="4"/>
  <c r="Q136" i="4"/>
  <c r="O137" i="4"/>
  <c r="P137" i="4"/>
  <c r="Q137" i="4"/>
  <c r="O138" i="4"/>
  <c r="P138" i="4"/>
  <c r="Q138" i="4"/>
  <c r="O139" i="4"/>
  <c r="P139" i="4"/>
  <c r="Q139" i="4"/>
  <c r="O140" i="4"/>
  <c r="P140" i="4"/>
  <c r="Q140" i="4"/>
  <c r="O141" i="4"/>
  <c r="P141" i="4"/>
  <c r="Q141" i="4"/>
  <c r="O142" i="4"/>
  <c r="P142" i="4"/>
  <c r="Q142" i="4"/>
  <c r="O143" i="4"/>
  <c r="P143" i="4"/>
  <c r="Q143" i="4"/>
  <c r="O144" i="4"/>
  <c r="P144" i="4"/>
  <c r="Q144" i="4"/>
  <c r="O145" i="4"/>
  <c r="P145" i="4"/>
  <c r="Q145" i="4"/>
  <c r="O148" i="4"/>
  <c r="P148" i="4"/>
  <c r="Q148" i="4"/>
  <c r="O149" i="4"/>
  <c r="P149" i="4"/>
  <c r="Q149" i="4"/>
  <c r="O150" i="4"/>
  <c r="P150" i="4"/>
  <c r="Q150" i="4"/>
  <c r="O151" i="4"/>
  <c r="P151" i="4"/>
  <c r="Q151" i="4"/>
  <c r="O152" i="4"/>
  <c r="P152" i="4"/>
  <c r="Q152" i="4"/>
  <c r="O153" i="4"/>
  <c r="P153" i="4"/>
  <c r="Q153" i="4"/>
  <c r="O154" i="4"/>
  <c r="P154" i="4"/>
  <c r="Q154" i="4"/>
  <c r="O155" i="4"/>
  <c r="P155" i="4"/>
  <c r="Q155" i="4"/>
  <c r="O156" i="4"/>
  <c r="P156" i="4"/>
  <c r="Q156" i="4"/>
  <c r="O157" i="4"/>
  <c r="P157" i="4"/>
  <c r="Q157" i="4"/>
  <c r="O158" i="4"/>
  <c r="P158" i="4"/>
  <c r="Q158" i="4"/>
  <c r="O159" i="4"/>
  <c r="P159" i="4"/>
  <c r="Q159" i="4"/>
  <c r="O160" i="4"/>
  <c r="P160" i="4"/>
  <c r="Q160" i="4"/>
  <c r="O161" i="4"/>
  <c r="P161" i="4"/>
  <c r="Q161" i="4"/>
  <c r="O163" i="4"/>
  <c r="P163" i="4"/>
  <c r="Q163" i="4"/>
  <c r="O164" i="4"/>
  <c r="P164" i="4"/>
  <c r="Q164" i="4"/>
  <c r="O165" i="4"/>
  <c r="P165" i="4"/>
  <c r="Q165" i="4"/>
  <c r="O166" i="4"/>
  <c r="P166" i="4"/>
  <c r="Q166" i="4"/>
  <c r="O167" i="4"/>
  <c r="P167" i="4"/>
  <c r="Q167" i="4"/>
  <c r="O168" i="4"/>
  <c r="P168" i="4"/>
  <c r="Q168" i="4"/>
  <c r="O169" i="4"/>
  <c r="P169" i="4"/>
  <c r="Q169" i="4"/>
  <c r="O170" i="4"/>
  <c r="P170" i="4"/>
  <c r="Q170" i="4"/>
  <c r="O171" i="4"/>
  <c r="P171" i="4"/>
  <c r="Q171" i="4"/>
  <c r="O172" i="4"/>
  <c r="P172" i="4"/>
  <c r="Q172" i="4"/>
  <c r="O173" i="4"/>
  <c r="P173" i="4"/>
  <c r="Q173" i="4"/>
  <c r="O174" i="4"/>
  <c r="P174" i="4"/>
  <c r="Q174" i="4"/>
  <c r="O175" i="4"/>
  <c r="P175" i="4"/>
  <c r="Q175" i="4"/>
  <c r="O176" i="4"/>
  <c r="P176" i="4"/>
  <c r="Q176" i="4"/>
  <c r="O177" i="4"/>
  <c r="P177" i="4"/>
  <c r="Q177" i="4"/>
  <c r="O178" i="4"/>
  <c r="P178" i="4"/>
  <c r="Q178" i="4"/>
  <c r="O179" i="4"/>
  <c r="P179" i="4"/>
  <c r="Q179" i="4"/>
  <c r="O180" i="4"/>
  <c r="P180" i="4"/>
  <c r="Q180" i="4"/>
  <c r="O183" i="4"/>
  <c r="P183" i="4"/>
  <c r="Q183" i="4"/>
  <c r="O184" i="4"/>
  <c r="P184" i="4"/>
  <c r="Q184" i="4"/>
  <c r="O185" i="4"/>
  <c r="P185" i="4"/>
  <c r="Q185" i="4"/>
  <c r="O186" i="4"/>
  <c r="P186" i="4"/>
  <c r="Q186" i="4"/>
  <c r="O187" i="4"/>
  <c r="P187" i="4"/>
  <c r="Q187" i="4"/>
  <c r="O188" i="4"/>
  <c r="P188" i="4"/>
  <c r="Q188" i="4"/>
  <c r="O189" i="4"/>
  <c r="P189" i="4"/>
  <c r="Q189" i="4"/>
  <c r="O191" i="4"/>
  <c r="P191" i="4"/>
  <c r="Q191" i="4"/>
  <c r="O192" i="4"/>
  <c r="P192" i="4"/>
  <c r="Q192" i="4"/>
  <c r="O193" i="4"/>
  <c r="P193" i="4"/>
  <c r="Q193" i="4"/>
  <c r="O194" i="4"/>
  <c r="P194" i="4"/>
  <c r="Q194" i="4"/>
  <c r="O195" i="4"/>
  <c r="P195" i="4"/>
  <c r="Q195" i="4"/>
  <c r="O196" i="4"/>
  <c r="P196" i="4"/>
  <c r="Q196" i="4"/>
  <c r="O197" i="4"/>
  <c r="P197" i="4"/>
  <c r="Q197" i="4"/>
  <c r="O198" i="4"/>
  <c r="P198" i="4"/>
  <c r="Q198" i="4"/>
  <c r="O199" i="4"/>
  <c r="P199" i="4"/>
  <c r="Q199" i="4"/>
  <c r="O200" i="4"/>
  <c r="P200" i="4"/>
  <c r="Q200" i="4"/>
  <c r="O201" i="4"/>
  <c r="P201" i="4"/>
  <c r="Q201" i="4"/>
  <c r="O202" i="4"/>
  <c r="P202" i="4"/>
  <c r="Q202" i="4"/>
  <c r="O203" i="4"/>
  <c r="P203" i="4"/>
  <c r="Q203" i="4"/>
  <c r="O204" i="4"/>
  <c r="P204" i="4"/>
  <c r="Q204" i="4"/>
  <c r="O205" i="4"/>
  <c r="P205" i="4"/>
  <c r="Q205" i="4"/>
  <c r="O206" i="4"/>
  <c r="P206" i="4"/>
  <c r="Q206" i="4"/>
  <c r="O207" i="4"/>
  <c r="P207" i="4"/>
  <c r="Q207" i="4"/>
  <c r="O208" i="4"/>
  <c r="P208" i="4"/>
  <c r="Q208" i="4"/>
  <c r="O213" i="4"/>
  <c r="P213" i="4"/>
  <c r="Q213" i="4"/>
  <c r="O214" i="4"/>
  <c r="P214" i="4"/>
  <c r="Q214" i="4"/>
  <c r="O215" i="4"/>
  <c r="P215" i="4"/>
  <c r="Q215" i="4"/>
  <c r="O216" i="4"/>
  <c r="P216" i="4"/>
  <c r="Q216" i="4"/>
  <c r="O217" i="4"/>
  <c r="P217" i="4"/>
  <c r="Q217" i="4"/>
  <c r="O218" i="4"/>
  <c r="P218" i="4"/>
  <c r="Q218" i="4"/>
  <c r="O219" i="4"/>
  <c r="P219" i="4"/>
  <c r="Q219" i="4"/>
  <c r="O220" i="4"/>
  <c r="P220" i="4"/>
  <c r="Q220" i="4"/>
  <c r="O221" i="4"/>
  <c r="P221" i="4"/>
  <c r="Q221" i="4"/>
  <c r="O222" i="4"/>
  <c r="P222" i="4"/>
  <c r="Q222" i="4"/>
  <c r="O223" i="4"/>
  <c r="P223" i="4"/>
  <c r="Q223" i="4"/>
  <c r="O224" i="4"/>
  <c r="P224" i="4"/>
  <c r="Q224" i="4"/>
  <c r="O225" i="4"/>
  <c r="P225" i="4"/>
  <c r="Q225" i="4"/>
  <c r="O226" i="4"/>
  <c r="P226" i="4"/>
  <c r="Q226" i="4"/>
  <c r="O227" i="4"/>
  <c r="P227" i="4"/>
  <c r="Q227" i="4"/>
  <c r="O228" i="4"/>
  <c r="P228" i="4"/>
  <c r="Q228" i="4"/>
  <c r="O229" i="4"/>
  <c r="P229" i="4"/>
  <c r="Q229" i="4"/>
  <c r="O230" i="4"/>
  <c r="P230" i="4"/>
  <c r="Q230" i="4"/>
  <c r="O231" i="4"/>
  <c r="P231" i="4"/>
  <c r="Q231" i="4"/>
  <c r="O232" i="4"/>
  <c r="P232" i="4"/>
  <c r="Q232" i="4"/>
  <c r="O233" i="4"/>
  <c r="P233" i="4"/>
  <c r="Q233" i="4"/>
  <c r="O234" i="4"/>
  <c r="P234" i="4"/>
  <c r="Q234" i="4"/>
  <c r="O235" i="4"/>
  <c r="P235" i="4"/>
  <c r="Q235" i="4"/>
  <c r="O237" i="4"/>
  <c r="P237" i="4"/>
  <c r="Q237" i="4"/>
  <c r="O238" i="4"/>
  <c r="P238" i="4"/>
  <c r="Q238" i="4"/>
  <c r="O239" i="4"/>
  <c r="P239" i="4"/>
  <c r="Q239" i="4"/>
  <c r="O240" i="4"/>
  <c r="P240" i="4"/>
  <c r="Q240" i="4"/>
  <c r="O241" i="4"/>
  <c r="P241" i="4"/>
  <c r="Q241" i="4"/>
  <c r="O242" i="4"/>
  <c r="P242" i="4"/>
  <c r="Q242" i="4"/>
  <c r="O243" i="4"/>
  <c r="P243" i="4"/>
  <c r="Q243" i="4"/>
  <c r="O244" i="4"/>
  <c r="P244" i="4"/>
  <c r="Q244" i="4"/>
  <c r="O245" i="4"/>
  <c r="P245" i="4"/>
  <c r="Q245" i="4"/>
  <c r="O246" i="4"/>
  <c r="P246" i="4"/>
  <c r="Q246" i="4"/>
  <c r="O247" i="4"/>
  <c r="P247" i="4"/>
  <c r="Q247" i="4"/>
  <c r="O248" i="4"/>
  <c r="P248" i="4"/>
  <c r="Q248" i="4"/>
  <c r="O249" i="4"/>
  <c r="P249" i="4"/>
  <c r="Q249" i="4"/>
  <c r="O250" i="4"/>
  <c r="P250" i="4"/>
  <c r="Q250" i="4"/>
  <c r="O251" i="4"/>
  <c r="P251" i="4"/>
  <c r="Q251" i="4"/>
  <c r="O252" i="4"/>
  <c r="P252" i="4"/>
  <c r="Q252" i="4"/>
  <c r="O253" i="4"/>
  <c r="P253" i="4"/>
  <c r="Q253" i="4"/>
  <c r="O254" i="4"/>
  <c r="P254" i="4"/>
  <c r="Q254" i="4"/>
  <c r="O255" i="4"/>
  <c r="P255" i="4"/>
  <c r="Q255" i="4"/>
  <c r="O256" i="4"/>
  <c r="P256" i="4"/>
  <c r="Q256" i="4"/>
  <c r="O257" i="4"/>
  <c r="P257" i="4"/>
  <c r="Q257" i="4"/>
  <c r="O258" i="4"/>
  <c r="P258" i="4"/>
  <c r="Q258" i="4"/>
  <c r="O259" i="4"/>
  <c r="P259" i="4"/>
  <c r="Q259" i="4"/>
  <c r="O260" i="4"/>
  <c r="P260" i="4"/>
  <c r="Q260" i="4"/>
  <c r="O261" i="4"/>
  <c r="P261" i="4"/>
  <c r="Q261" i="4"/>
  <c r="O262" i="4"/>
  <c r="P262" i="4"/>
  <c r="Q262" i="4"/>
  <c r="O263" i="4"/>
  <c r="P263" i="4"/>
  <c r="Q263" i="4"/>
  <c r="O264" i="4"/>
  <c r="P264" i="4"/>
  <c r="Q264" i="4"/>
  <c r="O265" i="4"/>
  <c r="P265" i="4"/>
  <c r="Q265" i="4"/>
  <c r="O266" i="4"/>
  <c r="P266" i="4"/>
  <c r="Q266" i="4"/>
  <c r="O267" i="4"/>
  <c r="P267" i="4"/>
  <c r="Q267" i="4"/>
  <c r="O268" i="4"/>
  <c r="P268" i="4"/>
  <c r="Q268" i="4"/>
  <c r="O269" i="4"/>
  <c r="P269" i="4"/>
  <c r="Q269" i="4"/>
  <c r="O270" i="4"/>
  <c r="P270" i="4"/>
  <c r="Q270" i="4"/>
  <c r="O271" i="4"/>
  <c r="P271" i="4"/>
  <c r="Q271" i="4"/>
  <c r="O272" i="4"/>
  <c r="P272" i="4"/>
  <c r="Q272" i="4"/>
  <c r="O273" i="4"/>
  <c r="P273" i="4"/>
  <c r="Q273" i="4"/>
  <c r="O274" i="4"/>
  <c r="P274" i="4"/>
  <c r="Q274" i="4"/>
  <c r="O275" i="4"/>
  <c r="P275" i="4"/>
  <c r="Q275" i="4"/>
  <c r="O276" i="4"/>
  <c r="P276" i="4"/>
  <c r="Q276" i="4"/>
  <c r="O277" i="4"/>
  <c r="P277" i="4"/>
  <c r="Q277" i="4"/>
  <c r="O278" i="4"/>
  <c r="P278" i="4"/>
  <c r="Q278" i="4"/>
  <c r="O279" i="4"/>
  <c r="P279" i="4"/>
  <c r="Q279" i="4"/>
  <c r="O280" i="4"/>
  <c r="P280" i="4"/>
  <c r="Q280" i="4"/>
  <c r="O281" i="4"/>
  <c r="P281" i="4"/>
  <c r="Q281" i="4"/>
  <c r="O282" i="4"/>
  <c r="P282" i="4"/>
  <c r="Q282" i="4"/>
  <c r="O283" i="4"/>
  <c r="P283" i="4"/>
  <c r="Q283" i="4"/>
  <c r="O284" i="4"/>
  <c r="P284" i="4"/>
  <c r="Q284" i="4"/>
  <c r="O285" i="4"/>
  <c r="P285" i="4"/>
  <c r="Q285" i="4"/>
  <c r="O286" i="4"/>
  <c r="P286" i="4"/>
  <c r="Q286" i="4"/>
  <c r="O287" i="4"/>
  <c r="P287" i="4"/>
  <c r="Q287" i="4"/>
  <c r="O288" i="4"/>
  <c r="P288" i="4"/>
  <c r="Q288" i="4"/>
  <c r="O289" i="4"/>
  <c r="P289" i="4"/>
  <c r="Q289" i="4"/>
  <c r="O290" i="4"/>
  <c r="P290" i="4"/>
  <c r="Q290" i="4"/>
  <c r="Q7" i="4"/>
  <c r="P7" i="4"/>
  <c r="O7" i="4"/>
</calcChain>
</file>

<file path=xl/sharedStrings.xml><?xml version="1.0" encoding="utf-8"?>
<sst xmlns="http://schemas.openxmlformats.org/spreadsheetml/2006/main" count="2205" uniqueCount="755">
  <si>
    <t>UBND XÃ HÒA TIẾN</t>
  </si>
  <si>
    <t xml:space="preserve">Họ và tên </t>
  </si>
  <si>
    <t>Chủ hộ/ quan hệ với chủ hộ (Ghi rõ: Chủ hộ, vợ, chồng, con)</t>
  </si>
  <si>
    <t>Số điện thoại từng thành viên trong hộ</t>
  </si>
  <si>
    <t xml:space="preserve">Hộ gia đình sử dụng mạng Internet cố định (nếu có đánh dấu x vào vị trí chủ hộ) </t>
  </si>
  <si>
    <t>Có 01 thành viên trong hộ sử dụng zalo do Ban nhân dân thôn lập ra (đánh dấu x)</t>
  </si>
  <si>
    <t>Thống kê thành viên trong hộ có sử dụng điện thoại thông minh (đánh dấu x nếu sử dụng ĐTTM</t>
  </si>
  <si>
    <t>Có thành viên trong hộ sử dụng tài khoản để thanh toán tiền điện, nước, viễn thông ..(đánh dấu x)</t>
  </si>
  <si>
    <t>Thống kê thành viên trong hộ đủ 15 tuổi trở lên có sử dụng thẻ ngân hàng</t>
  </si>
  <si>
    <t>Có sử dụng đánh dấu x</t>
  </si>
  <si>
    <t>Tên ngân hàng</t>
  </si>
  <si>
    <t>DANH SÁCH KHẢO SÁT TIÊU CHÍ THÔN THÔNG MINH LIÊN QUAN ĐẾN LĨNH VỰC 
THÔNG TIN VÀ TRUYỀN THÔNG GIAI ĐOẠN 2021-2025</t>
  </si>
  <si>
    <t>CỘNG HÒA XÃ HỘI CHỦ NGHĨA VIỆT NAM</t>
  </si>
  <si>
    <t>Độc lập - Tự do - Hạnh phúc</t>
  </si>
  <si>
    <t>Ngày tháng năm sinh</t>
  </si>
  <si>
    <t>Nơi thường trú 
(Tổ)</t>
  </si>
  <si>
    <t>Hộ gia đình sử dụng 01 trong số các phương thức xem truyền hình như: truyền hình vệ tinh, truyền hình cáp, truyền hình số mặt đất, truyền hình qua mạng internet (Đánh dấu x)</t>
  </si>
  <si>
    <t>Chủ hộ</t>
  </si>
  <si>
    <t>Vợ</t>
  </si>
  <si>
    <t>Con</t>
  </si>
  <si>
    <t>Chồng</t>
  </si>
  <si>
    <t>Dâu</t>
  </si>
  <si>
    <t>Cháu</t>
  </si>
  <si>
    <t>x</t>
  </si>
  <si>
    <t>Agribank</t>
  </si>
  <si>
    <t>MB</t>
  </si>
  <si>
    <t>Vietcom</t>
  </si>
  <si>
    <t>BIDV</t>
  </si>
  <si>
    <t>0905462205</t>
  </si>
  <si>
    <t>VCB</t>
  </si>
  <si>
    <t>SHB</t>
  </si>
  <si>
    <t>Rể</t>
  </si>
  <si>
    <t>0764588371</t>
  </si>
  <si>
    <t>ACB</t>
  </si>
  <si>
    <t xml:space="preserve">VCB </t>
  </si>
  <si>
    <t>1996</t>
  </si>
  <si>
    <t>Lê Minh Thái</t>
  </si>
  <si>
    <t>1/1/1959</t>
  </si>
  <si>
    <t>Tổ 6</t>
  </si>
  <si>
    <t>0377885136</t>
  </si>
  <si>
    <t>Đặng Thị Huynh</t>
  </si>
  <si>
    <t>0777800642</t>
  </si>
  <si>
    <t>VCBank</t>
  </si>
  <si>
    <t>Lê Thanh Bình</t>
  </si>
  <si>
    <t>0905890386</t>
  </si>
  <si>
    <t>Lê Nguyễn Minh Hưng</t>
  </si>
  <si>
    <t>0707553029</t>
  </si>
  <si>
    <t>Đặng Văn Tiến Dũng</t>
  </si>
  <si>
    <t>0905957162</t>
  </si>
  <si>
    <t>Lê Thị Tùng</t>
  </si>
  <si>
    <t>0773741184</t>
  </si>
  <si>
    <t>Đặng Lê Ánh Nguyệt</t>
  </si>
  <si>
    <t>Đặng Xí (T)</t>
  </si>
  <si>
    <t>1/1/1965</t>
  </si>
  <si>
    <t>0935377992</t>
  </si>
  <si>
    <t>Tăng Thị Thuỷ</t>
  </si>
  <si>
    <t>Đặng Ngoan</t>
  </si>
  <si>
    <t>0898144134</t>
  </si>
  <si>
    <t>Đặng Thị Hiền</t>
  </si>
  <si>
    <t>Võ Đặng Bảo Trân</t>
  </si>
  <si>
    <t>Đặng Văn Cảm</t>
  </si>
  <si>
    <t>0703011207</t>
  </si>
  <si>
    <t>Đinh Thị Mơ</t>
  </si>
  <si>
    <t>Đặng Hồng Gia Huy</t>
  </si>
  <si>
    <t>Huỳnh Ngọc Thuyên</t>
  </si>
  <si>
    <t>0913734236</t>
  </si>
  <si>
    <t>Huỳnh Lan Anh</t>
  </si>
  <si>
    <t>0971034445</t>
  </si>
  <si>
    <t>VTBank</t>
  </si>
  <si>
    <t>Huỳnh Ngọc Đăng Khoa</t>
  </si>
  <si>
    <t>Phạm Hồng Phương</t>
  </si>
  <si>
    <t>0981556303</t>
  </si>
  <si>
    <t>Phạm Minh Quân</t>
  </si>
  <si>
    <t>Đặng Ngọc Toàn</t>
  </si>
  <si>
    <t>0707039397</t>
  </si>
  <si>
    <t>Phạm Thị Cậy</t>
  </si>
  <si>
    <t>0932568219</t>
  </si>
  <si>
    <t>Đặng Anh Tuân</t>
  </si>
  <si>
    <t>0905511932</t>
  </si>
  <si>
    <t>Trần Thị Vân</t>
  </si>
  <si>
    <t>Đặng Văn Hoàng Hải</t>
  </si>
  <si>
    <t>29/8/2012</t>
  </si>
  <si>
    <t>Đặng Trần Bảo Trâmn</t>
  </si>
  <si>
    <t>14/7/2016</t>
  </si>
  <si>
    <t>Nguyễn Thị Bông</t>
  </si>
  <si>
    <t>10/10/1945</t>
  </si>
  <si>
    <t>0935296983</t>
  </si>
  <si>
    <t>Lê Đăng Tâm</t>
  </si>
  <si>
    <t>3/8/1973</t>
  </si>
  <si>
    <t>Đỗ Thị Thu Hạnh</t>
  </si>
  <si>
    <t>4/11/1974</t>
  </si>
  <si>
    <t>0935675806</t>
  </si>
  <si>
    <t>Lê Đăng Duy</t>
  </si>
  <si>
    <t>28/10/2008</t>
  </si>
  <si>
    <t>Đặng Diệp</t>
  </si>
  <si>
    <t>1/1/1981</t>
  </si>
  <si>
    <t>0942639377</t>
  </si>
  <si>
    <t>Đặng Thị Tuyết Ánh</t>
  </si>
  <si>
    <t>11/10/2005</t>
  </si>
  <si>
    <t>0934724690</t>
  </si>
  <si>
    <t>Đặng Thị Kim Ánh</t>
  </si>
  <si>
    <t>2/6/1985</t>
  </si>
  <si>
    <t>0906569838</t>
  </si>
  <si>
    <t>Đặng Văn Long</t>
  </si>
  <si>
    <t>1/2/2007</t>
  </si>
  <si>
    <t>0774756833</t>
  </si>
  <si>
    <t>Đặng Văn Vương</t>
  </si>
  <si>
    <t>7/7/2015</t>
  </si>
  <si>
    <t>Đoàn Văn Thạch</t>
  </si>
  <si>
    <t>20/8/1985</t>
  </si>
  <si>
    <t>0985196743</t>
  </si>
  <si>
    <t>VTbank</t>
  </si>
  <si>
    <t>Nguyễn Thị Hảo</t>
  </si>
  <si>
    <t>30/4/1987</t>
  </si>
  <si>
    <t>0985026069</t>
  </si>
  <si>
    <t>Đoàn Thị Tuy Na</t>
  </si>
  <si>
    <t>4/10/2013</t>
  </si>
  <si>
    <t>Đoàn Văn Đăng Khoa</t>
  </si>
  <si>
    <t>29/12/2019</t>
  </si>
  <si>
    <t>Đặng Hồng</t>
  </si>
  <si>
    <t>1/1/1955</t>
  </si>
  <si>
    <t>0976769800</t>
  </si>
  <si>
    <t>Nguyễn Thị Kính</t>
  </si>
  <si>
    <t>0768514564</t>
  </si>
  <si>
    <t>Đặng Văn Lương</t>
  </si>
  <si>
    <t>12/3/2000</t>
  </si>
  <si>
    <t>0796555153</t>
  </si>
  <si>
    <t>Phan Thế Lâm</t>
  </si>
  <si>
    <t>10/11/1993</t>
  </si>
  <si>
    <t>0977030125</t>
  </si>
  <si>
    <t>Phạm Thị Hồng Nhung</t>
  </si>
  <si>
    <t>5/9/1992</t>
  </si>
  <si>
    <t>0964105526</t>
  </si>
  <si>
    <t>Phan Lâm Kiều Huy</t>
  </si>
  <si>
    <t>9/8/2018</t>
  </si>
  <si>
    <t>Nguyễn Xuân Linh</t>
  </si>
  <si>
    <t>14/6/1987</t>
  </si>
  <si>
    <t>0935536118</t>
  </si>
  <si>
    <t>TCBank</t>
  </si>
  <si>
    <t>Nguyễn Thị Hạnh</t>
  </si>
  <si>
    <t>20/6/1989</t>
  </si>
  <si>
    <t>0905451413</t>
  </si>
  <si>
    <t>Nguyễn Thị Xuân Hoà</t>
  </si>
  <si>
    <t>23/5/2011</t>
  </si>
  <si>
    <t>Nguyễn Xuân Tường Vi</t>
  </si>
  <si>
    <t>6/8/2012</t>
  </si>
  <si>
    <t>Nguyễn Phú Sơn</t>
  </si>
  <si>
    <t>1961</t>
  </si>
  <si>
    <t>0397189258</t>
  </si>
  <si>
    <t>Đỗ Thị Huynh</t>
  </si>
  <si>
    <t>1962</t>
  </si>
  <si>
    <t>Phạm Thị Kim Anh</t>
  </si>
  <si>
    <t>1/1/1966</t>
  </si>
  <si>
    <t>0796552025</t>
  </si>
  <si>
    <t>Nguyễn Xuân Nghĩa</t>
  </si>
  <si>
    <t>1/1/1991</t>
  </si>
  <si>
    <t>0767278327</t>
  </si>
  <si>
    <t>Nguyễn Trần Xuân Thảo</t>
  </si>
  <si>
    <t>9/11/2019</t>
  </si>
  <si>
    <t>Nguyễn Xuân Tình</t>
  </si>
  <si>
    <t>20/8/1989</t>
  </si>
  <si>
    <t>0774464146</t>
  </si>
  <si>
    <t>Mai Thị Tuyết Trinh</t>
  </si>
  <si>
    <t>1/6/1989</t>
  </si>
  <si>
    <t>0777443631</t>
  </si>
  <si>
    <t>Nguyễn Mai Bảo Trân</t>
  </si>
  <si>
    <t>2/1/2013</t>
  </si>
  <si>
    <t>Nguyễn Xuân Trí</t>
  </si>
  <si>
    <t>29/8/2018</t>
  </si>
  <si>
    <t>Nguyễn Mai Thảo Trang</t>
  </si>
  <si>
    <t>23/3/2020</t>
  </si>
  <si>
    <t>Nguyễn Văn Quân</t>
  </si>
  <si>
    <t>1/11/1995</t>
  </si>
  <si>
    <t>0906198342</t>
  </si>
  <si>
    <t>Phùng Thị Thanh Hương</t>
  </si>
  <si>
    <t>10/1/1996</t>
  </si>
  <si>
    <t>Nguyễn Cao Thuỳ Duyên</t>
  </si>
  <si>
    <t>22/12/2015</t>
  </si>
  <si>
    <t>Nguyễn Cao Thuỳ Diễm</t>
  </si>
  <si>
    <t>14/2/2017</t>
  </si>
  <si>
    <t>Lê Văn Mỹ</t>
  </si>
  <si>
    <t>0935377291</t>
  </si>
  <si>
    <t>Le Thị Lệ</t>
  </si>
  <si>
    <t>20/1/1979</t>
  </si>
  <si>
    <t>0905852937</t>
  </si>
  <si>
    <t>Lê Song Quý Na</t>
  </si>
  <si>
    <t>16/10/2006</t>
  </si>
  <si>
    <t>0766767874</t>
  </si>
  <si>
    <t>Lê Xuân Nguyên</t>
  </si>
  <si>
    <t>30/5/2009</t>
  </si>
  <si>
    <t>Đặng Anh Tuấn</t>
  </si>
  <si>
    <t>30/6/1986</t>
  </si>
  <si>
    <t>0905890421</t>
  </si>
  <si>
    <t>Phan Thị Thanh</t>
  </si>
  <si>
    <t>10/10/1987</t>
  </si>
  <si>
    <t>0935874752</t>
  </si>
  <si>
    <t>Đặng Thị Anh Thư</t>
  </si>
  <si>
    <t>Đặng Anh Tú</t>
  </si>
  <si>
    <t>20/8/2017</t>
  </si>
  <si>
    <t>Đặng Thị Liễu</t>
  </si>
  <si>
    <t>20/1/1968</t>
  </si>
  <si>
    <t>0775526438</t>
  </si>
  <si>
    <t>Đặng Quốc Hoàng</t>
  </si>
  <si>
    <t>27/6/2003</t>
  </si>
  <si>
    <t>0768430359</t>
  </si>
  <si>
    <t>Đặng Thị Ánh Tuyết</t>
  </si>
  <si>
    <t>1/1/1980</t>
  </si>
  <si>
    <t>0898184769</t>
  </si>
  <si>
    <t>Đặng Công Thành</t>
  </si>
  <si>
    <t>2004</t>
  </si>
  <si>
    <t>Đặng Tiến Vinh</t>
  </si>
  <si>
    <t>0907388935</t>
  </si>
  <si>
    <t>ACBank</t>
  </si>
  <si>
    <t>Nguyễn Thị Thiên Hương</t>
  </si>
  <si>
    <t>3/1/1982</t>
  </si>
  <si>
    <t>0905476728</t>
  </si>
  <si>
    <t>Đặng Tiến Quang</t>
  </si>
  <si>
    <t>7/5/2011</t>
  </si>
  <si>
    <t>Đặng Nguyễn Quỳnh Chi</t>
  </si>
  <si>
    <t>21/6/2013</t>
  </si>
  <si>
    <t>Đặng Thành Đàng</t>
  </si>
  <si>
    <t>1/1/1954</t>
  </si>
  <si>
    <t>0702496117</t>
  </si>
  <si>
    <t>Dương Thị Cúc</t>
  </si>
  <si>
    <t>Đặng Thị Văn Nga</t>
  </si>
  <si>
    <t>1981</t>
  </si>
  <si>
    <t>Ngô Thị Thuỳ Dương</t>
  </si>
  <si>
    <t>15/8/2000</t>
  </si>
  <si>
    <t>Ngô Tấn Phúc</t>
  </si>
  <si>
    <t>26/9/2001</t>
  </si>
  <si>
    <t>Trương Quang Bá</t>
  </si>
  <si>
    <t>10/11/1970</t>
  </si>
  <si>
    <t>0935893394</t>
  </si>
  <si>
    <t>Nguyễn Thị Huệ</t>
  </si>
  <si>
    <t>3/2/1967</t>
  </si>
  <si>
    <t>0905167831</t>
  </si>
  <si>
    <t>Trương Quang Vũ</t>
  </si>
  <si>
    <t>3/3/1996</t>
  </si>
  <si>
    <t>0796544840</t>
  </si>
  <si>
    <t>Trương Quang Minh</t>
  </si>
  <si>
    <t>8/10/2004</t>
  </si>
  <si>
    <t>0938518401</t>
  </si>
  <si>
    <t>Võ Thanh Liêm</t>
  </si>
  <si>
    <t>1949</t>
  </si>
  <si>
    <t>0935213911</t>
  </si>
  <si>
    <t>TPBank</t>
  </si>
  <si>
    <t>Đặng Thị Vy</t>
  </si>
  <si>
    <t>27/7/1992</t>
  </si>
  <si>
    <t>0788677883</t>
  </si>
  <si>
    <t>Võ Hạo Khiêm</t>
  </si>
  <si>
    <t>18/11/2015</t>
  </si>
  <si>
    <t>Võ Hạo Khang</t>
  </si>
  <si>
    <t>21/3/2018</t>
  </si>
  <si>
    <t>Bùi Văn Duy</t>
  </si>
  <si>
    <t>1983</t>
  </si>
  <si>
    <t>0931906791</t>
  </si>
  <si>
    <t>1989</t>
  </si>
  <si>
    <t>0906003665</t>
  </si>
  <si>
    <t>Bùi Bảo Châu</t>
  </si>
  <si>
    <t>21/1/2016</t>
  </si>
  <si>
    <t>Bùi Phúc Thịnh</t>
  </si>
  <si>
    <t>1/4/2020</t>
  </si>
  <si>
    <t>Đặng Chinh</t>
  </si>
  <si>
    <t>0935425417</t>
  </si>
  <si>
    <t>Đặng Kiểm</t>
  </si>
  <si>
    <t>1939</t>
  </si>
  <si>
    <t>Lê Thị Chức</t>
  </si>
  <si>
    <t>1941</t>
  </si>
  <si>
    <t>Đặng Hưng Thịnh</t>
  </si>
  <si>
    <t>1974</t>
  </si>
  <si>
    <t>0784036513</t>
  </si>
  <si>
    <t>Nguyễn Thị Giàu</t>
  </si>
  <si>
    <t>1979</t>
  </si>
  <si>
    <t>0905946498</t>
  </si>
  <si>
    <t>Đặng Thị Thanh Tuyền</t>
  </si>
  <si>
    <t>15/7/1999</t>
  </si>
  <si>
    <t>0799340038</t>
  </si>
  <si>
    <t>Đặng Thị Bảo Trâm</t>
  </si>
  <si>
    <t>2/9/2003</t>
  </si>
  <si>
    <t>0796672963</t>
  </si>
  <si>
    <t>Đặng Thị Bảo Nhi</t>
  </si>
  <si>
    <t>29/11/2011</t>
  </si>
  <si>
    <t>Đặng Hưng Quang</t>
  </si>
  <si>
    <t>31/10/1972</t>
  </si>
  <si>
    <t>0937234540</t>
  </si>
  <si>
    <t>Lâm Thị Quế Anh</t>
  </si>
  <si>
    <t>30/7/1975</t>
  </si>
  <si>
    <t>0707068245</t>
  </si>
  <si>
    <t>Đặng Hưng Hiếu</t>
  </si>
  <si>
    <t>23/8/1997</t>
  </si>
  <si>
    <t>0935300284</t>
  </si>
  <si>
    <t>Đặng Hưng Huy</t>
  </si>
  <si>
    <t>23/10/2000</t>
  </si>
  <si>
    <t>0935013470</t>
  </si>
  <si>
    <t>Đặng Lâm Quế Ngân</t>
  </si>
  <si>
    <t>1/3/2013</t>
  </si>
  <si>
    <t>Đặng Lâm Quế Nghi</t>
  </si>
  <si>
    <t>Đặng Xí</t>
  </si>
  <si>
    <t>Nguyễn Thị Phúc</t>
  </si>
  <si>
    <t>1/1/1952</t>
  </si>
  <si>
    <t>Đặng Văn Hiền</t>
  </si>
  <si>
    <t>12/6/1994</t>
  </si>
  <si>
    <t>0934837306</t>
  </si>
  <si>
    <t>Đặng Hùng</t>
  </si>
  <si>
    <t>30/8/1981</t>
  </si>
  <si>
    <t>0905310541</t>
  </si>
  <si>
    <t>Lê Thị Ánh Vân</t>
  </si>
  <si>
    <t>19/8/1986</t>
  </si>
  <si>
    <t>0948740112</t>
  </si>
  <si>
    <t>Đặng Hoàng</t>
  </si>
  <si>
    <t>7/3/2009</t>
  </si>
  <si>
    <t>0905310571</t>
  </si>
  <si>
    <t>Đặng Thị Thanh Trúc</t>
  </si>
  <si>
    <t>16/1/2015</t>
  </si>
  <si>
    <t>Huỳnh Thanh Hiệp</t>
  </si>
  <si>
    <t>19/5/1973</t>
  </si>
  <si>
    <t>0934607206</t>
  </si>
  <si>
    <t>Phạm Thị Bích Loan</t>
  </si>
  <si>
    <t>24/6/1977</t>
  </si>
  <si>
    <t>Huỳnh Thị Thanh Phụng</t>
  </si>
  <si>
    <t>19/1/2002</t>
  </si>
  <si>
    <t>0935504084</t>
  </si>
  <si>
    <t>Huỳnh Thị Thanh Linh</t>
  </si>
  <si>
    <t>9/1/2006</t>
  </si>
  <si>
    <t>0905499585</t>
  </si>
  <si>
    <t>Huỳnh Thị Thanh Hằng</t>
  </si>
  <si>
    <t>14/5/2008</t>
  </si>
  <si>
    <t>0792584665</t>
  </si>
  <si>
    <t>Đặng Thanh Vân</t>
  </si>
  <si>
    <t>0905936780</t>
  </si>
  <si>
    <t>Đặng Nhật Thanh</t>
  </si>
  <si>
    <t>1/1/2008</t>
  </si>
  <si>
    <t>0766717980</t>
  </si>
  <si>
    <t>Đỗ Thị Quyền</t>
  </si>
  <si>
    <t>17/5/1993</t>
  </si>
  <si>
    <t>0905921880</t>
  </si>
  <si>
    <t>Nguyễn Đỗ Gia Khánh</t>
  </si>
  <si>
    <t>12/6/2023</t>
  </si>
  <si>
    <t>Đặng Thị Xuân Tiên</t>
  </si>
  <si>
    <t>12/2/1979</t>
  </si>
  <si>
    <t>0792168660</t>
  </si>
  <si>
    <t>PVBank</t>
  </si>
  <si>
    <t>Đặng Thị Kim Tiền</t>
  </si>
  <si>
    <t>16/7/2002</t>
  </si>
  <si>
    <t>0799141476</t>
  </si>
  <si>
    <t>Đặng Thị Lê</t>
  </si>
  <si>
    <t>13/11/2004</t>
  </si>
  <si>
    <t>0789400539</t>
  </si>
  <si>
    <t>Nguyễn Thị Thu</t>
  </si>
  <si>
    <t>0768410824</t>
  </si>
  <si>
    <t>Đặng Bảy</t>
  </si>
  <si>
    <t>1/1/1956</t>
  </si>
  <si>
    <t>Đặng Nhớ</t>
  </si>
  <si>
    <t>30/11/1993</t>
  </si>
  <si>
    <t>Đặng Hàn Vũ</t>
  </si>
  <si>
    <t>10/11/1975</t>
  </si>
  <si>
    <t>0905773569</t>
  </si>
  <si>
    <t>Trần Thị Út</t>
  </si>
  <si>
    <t>13/8/1980</t>
  </si>
  <si>
    <t>0704590129</t>
  </si>
  <si>
    <t>Đặng Hàn Long</t>
  </si>
  <si>
    <t>16/6/2000</t>
  </si>
  <si>
    <t>0766675074</t>
  </si>
  <si>
    <t>Đặng Hàn Biên</t>
  </si>
  <si>
    <t>5/2/2005</t>
  </si>
  <si>
    <t>0766593832</t>
  </si>
  <si>
    <t>Đặng Hàn Nhật</t>
  </si>
  <si>
    <t>12/2/2008</t>
  </si>
  <si>
    <t>0931903208</t>
  </si>
  <si>
    <t>12/11/1980</t>
  </si>
  <si>
    <t>0934928223</t>
  </si>
  <si>
    <t>Đặng Minh Tiến</t>
  </si>
  <si>
    <t>Trần Thị Tình</t>
  </si>
  <si>
    <t>9/11/1980</t>
  </si>
  <si>
    <t>0796552024</t>
  </si>
  <si>
    <t>Đặng Minh Tuấn</t>
  </si>
  <si>
    <t>2009</t>
  </si>
  <si>
    <t>0798434882</t>
  </si>
  <si>
    <t>Đặng Minh Thiên</t>
  </si>
  <si>
    <t>2019</t>
  </si>
  <si>
    <t>Trần Đình Đại</t>
  </si>
  <si>
    <t>31/8/1996</t>
  </si>
  <si>
    <t>0776735130</t>
  </si>
  <si>
    <t>Triệu Thanh Thuý</t>
  </si>
  <si>
    <t>10/12/1994</t>
  </si>
  <si>
    <t>0969274360</t>
  </si>
  <si>
    <t>Trần Đình Phúc Khang</t>
  </si>
  <si>
    <t>26/10/2018</t>
  </si>
  <si>
    <t>Trần Đình Vũ</t>
  </si>
  <si>
    <t>4/12/1972</t>
  </si>
  <si>
    <t>0384043063</t>
  </si>
  <si>
    <t>Đặng Thị Thanh Sang</t>
  </si>
  <si>
    <t>3/2/1979</t>
  </si>
  <si>
    <t>0392215533</t>
  </si>
  <si>
    <t>Trần Đình Dương</t>
  </si>
  <si>
    <t>18/9/1998</t>
  </si>
  <si>
    <t>0796848637</t>
  </si>
  <si>
    <t>Trần Đình Định</t>
  </si>
  <si>
    <t>17/11/2003</t>
  </si>
  <si>
    <t>0935732255</t>
  </si>
  <si>
    <t>12/10/1966</t>
  </si>
  <si>
    <t>0989073898</t>
  </si>
  <si>
    <t>Lê Hữu Diệu</t>
  </si>
  <si>
    <t>Nguyễn Thị Chạy</t>
  </si>
  <si>
    <t>7/2/1967</t>
  </si>
  <si>
    <t>Lê Hữu Thắng</t>
  </si>
  <si>
    <t>0776218749</t>
  </si>
  <si>
    <t>TMCP</t>
  </si>
  <si>
    <t>Lê Thị Bích Ngọc</t>
  </si>
  <si>
    <t>17/5/2003</t>
  </si>
  <si>
    <t>077548622</t>
  </si>
  <si>
    <t>Lê Hữu Hoàng</t>
  </si>
  <si>
    <t>22/7/2005</t>
  </si>
  <si>
    <t>0898220918</t>
  </si>
  <si>
    <t>Lê Văn Trung</t>
  </si>
  <si>
    <t>19/6/1962</t>
  </si>
  <si>
    <t>0775521813</t>
  </si>
  <si>
    <t>Ngô Thị Ý</t>
  </si>
  <si>
    <t>10/10/1968</t>
  </si>
  <si>
    <t>0762749976</t>
  </si>
  <si>
    <t>Lê Khánh Tâm</t>
  </si>
  <si>
    <t>1993</t>
  </si>
  <si>
    <t>0905057344</t>
  </si>
  <si>
    <t>Lê Khánh Dương</t>
  </si>
  <si>
    <t>9/5/1996</t>
  </si>
  <si>
    <t>0775584230</t>
  </si>
  <si>
    <t>Trần Thị Thu Hậu</t>
  </si>
  <si>
    <t>22/6/1997</t>
  </si>
  <si>
    <t>0906423753</t>
  </si>
  <si>
    <t>BVPV</t>
  </si>
  <si>
    <t>Trần Thị Thu</t>
  </si>
  <si>
    <t>12/5/1978</t>
  </si>
  <si>
    <t>0936398610</t>
  </si>
  <si>
    <t>Nguyễn Long</t>
  </si>
  <si>
    <t>4/4/1973</t>
  </si>
  <si>
    <t>0904809511</t>
  </si>
  <si>
    <t>Nguyễn Văn Tuấn</t>
  </si>
  <si>
    <t>5/12/2011</t>
  </si>
  <si>
    <t>Nguyễn Đình Bảo Long</t>
  </si>
  <si>
    <t>31/8/1986</t>
  </si>
  <si>
    <t>0935357854</t>
  </si>
  <si>
    <t>Nguyễn Thị Thảo Quyên</t>
  </si>
  <si>
    <t>1/1/1995</t>
  </si>
  <si>
    <t>0765312824</t>
  </si>
  <si>
    <t>Nguyễn Ngọc Bảo Thuy</t>
  </si>
  <si>
    <t>1/1/2017</t>
  </si>
  <si>
    <t>Nguyễn Ngọc Bảo Hân</t>
  </si>
  <si>
    <t>20/7/2022</t>
  </si>
  <si>
    <t>Đặng Hưng Vương</t>
  </si>
  <si>
    <t>15/8/1986</t>
  </si>
  <si>
    <t>0905154014</t>
  </si>
  <si>
    <t>Nguyễn Đào Quỳnh Liên</t>
  </si>
  <si>
    <t>2/3/1994</t>
  </si>
  <si>
    <t>0905532861</t>
  </si>
  <si>
    <t>27/7/2017</t>
  </si>
  <si>
    <t>Đặng Diệt</t>
  </si>
  <si>
    <t>1/1/1960</t>
  </si>
  <si>
    <t>0795891668</t>
  </si>
  <si>
    <t>Nguyễn Thị Kiên</t>
  </si>
  <si>
    <t>1/1/1961</t>
  </si>
  <si>
    <t>24/6/1996</t>
  </si>
  <si>
    <t>0778588225</t>
  </si>
  <si>
    <t>Đặng Thị Phương</t>
  </si>
  <si>
    <t>2/3/2000</t>
  </si>
  <si>
    <t>0866351686</t>
  </si>
  <si>
    <t>Đặng Thị Xuân Hương</t>
  </si>
  <si>
    <t>15/10/1976</t>
  </si>
  <si>
    <t>0905373061</t>
  </si>
  <si>
    <t>Nguyễn Văn Đẩu</t>
  </si>
  <si>
    <t>24/3/1974</t>
  </si>
  <si>
    <t>0905107903</t>
  </si>
  <si>
    <t>Nguyễn Thị Tuyết Ngân</t>
  </si>
  <si>
    <t>0935630662</t>
  </si>
  <si>
    <t>Nguyễn Văn Hoàng</t>
  </si>
  <si>
    <t>2011</t>
  </si>
  <si>
    <t>3/2/1982</t>
  </si>
  <si>
    <t>0705135683</t>
  </si>
  <si>
    <t>17/5/2011</t>
  </si>
  <si>
    <t>26/6/2013</t>
  </si>
  <si>
    <t>Đặng Lợm</t>
  </si>
  <si>
    <t>2/5/1958</t>
  </si>
  <si>
    <t>0774415787</t>
  </si>
  <si>
    <t>Nguyễn Thị Quế</t>
  </si>
  <si>
    <t>6/1/1964</t>
  </si>
  <si>
    <t>0905461201</t>
  </si>
  <si>
    <t>1/5/1988</t>
  </si>
  <si>
    <t>0762864109</t>
  </si>
  <si>
    <t>Đặng Anh Khoa</t>
  </si>
  <si>
    <t>0363241143</t>
  </si>
  <si>
    <t>CTG</t>
  </si>
  <si>
    <t>Trần Thị Hằng</t>
  </si>
  <si>
    <t>16/2/1970</t>
  </si>
  <si>
    <t>0702513681</t>
  </si>
  <si>
    <t>Đặng Văn Thái</t>
  </si>
  <si>
    <t>16/1/1992</t>
  </si>
  <si>
    <t>0934810952</t>
  </si>
  <si>
    <t>Dương Lê Mỹ Hiền</t>
  </si>
  <si>
    <t>5/10/1987</t>
  </si>
  <si>
    <t>0906547323</t>
  </si>
  <si>
    <t>Đăng Minh Tân</t>
  </si>
  <si>
    <t>4/7/2013</t>
  </si>
  <si>
    <t>Đăng Minh Bảo</t>
  </si>
  <si>
    <t>4/2/2020</t>
  </si>
  <si>
    <t>Đặng Cẩm</t>
  </si>
  <si>
    <t>0935004234</t>
  </si>
  <si>
    <t>Đặng Thị Biểu</t>
  </si>
  <si>
    <t>1/1/1957</t>
  </si>
  <si>
    <t>Đặng Ngọc Đường</t>
  </si>
  <si>
    <t>11/1/1980</t>
  </si>
  <si>
    <t>0905446525</t>
  </si>
  <si>
    <t>Lê Thị Tứ Hải</t>
  </si>
  <si>
    <t>5/10/1981</t>
  </si>
  <si>
    <t>0784687033</t>
  </si>
  <si>
    <t>Đặng Ngọc Trường</t>
  </si>
  <si>
    <t>27/4/2004</t>
  </si>
  <si>
    <t>0905556529</t>
  </si>
  <si>
    <t>Đặng Ngọc Trực</t>
  </si>
  <si>
    <t>3/1/2006</t>
  </si>
  <si>
    <t>0905580155</t>
  </si>
  <si>
    <t>Võ Nghĩa</t>
  </si>
  <si>
    <t>0949248647</t>
  </si>
  <si>
    <t>Đặng Thị Kim Họp</t>
  </si>
  <si>
    <t>15/4/1962</t>
  </si>
  <si>
    <t>0908861293</t>
  </si>
  <si>
    <t>Võ Thanh Mai</t>
  </si>
  <si>
    <t>12/8/1993</t>
  </si>
  <si>
    <t>0936757487</t>
  </si>
  <si>
    <t>Đặng Thanh Đạm</t>
  </si>
  <si>
    <t>1/1/1978</t>
  </si>
  <si>
    <t>0909788931</t>
  </si>
  <si>
    <t>Hồ Thị Kim Hạnh</t>
  </si>
  <si>
    <t>4/1/1981</t>
  </si>
  <si>
    <t>0905915600</t>
  </si>
  <si>
    <t>Đặng Thị Thanh Hằng</t>
  </si>
  <si>
    <t>31/10/2010</t>
  </si>
  <si>
    <t>Đặng Thanh Hưng</t>
  </si>
  <si>
    <t>17/4/2014</t>
  </si>
  <si>
    <t>Trần Đình Luận</t>
  </si>
  <si>
    <t>0935318949</t>
  </si>
  <si>
    <t>SCBank</t>
  </si>
  <si>
    <t>Đặng Thị Văn Liên</t>
  </si>
  <si>
    <t>1988</t>
  </si>
  <si>
    <t>Trần Mai Phương</t>
  </si>
  <si>
    <t>2017</t>
  </si>
  <si>
    <t>Trần Tố Tuân</t>
  </si>
  <si>
    <t>2014</t>
  </si>
  <si>
    <t>Nguyễn Đẳng</t>
  </si>
  <si>
    <t>13/2/1987</t>
  </si>
  <si>
    <t>0905362728</t>
  </si>
  <si>
    <t>Nguyễn Thị Kim Thoa</t>
  </si>
  <si>
    <t>25/5/1986</t>
  </si>
  <si>
    <t>0704015993</t>
  </si>
  <si>
    <t>Đặng Vinh</t>
  </si>
  <si>
    <t>17/10/1976</t>
  </si>
  <si>
    <t>0935579526</t>
  </si>
  <si>
    <t>Nguyễn Thị Ân</t>
  </si>
  <si>
    <t>20/12/1977</t>
  </si>
  <si>
    <t>0905135693</t>
  </si>
  <si>
    <t>Đặng Minh Quang</t>
  </si>
  <si>
    <t>5/10/2005</t>
  </si>
  <si>
    <t>Đặng Thị Tường Vi</t>
  </si>
  <si>
    <t>18/2/2009</t>
  </si>
  <si>
    <t>Đặng Thị Anh Đào</t>
  </si>
  <si>
    <t>13/1/2019</t>
  </si>
  <si>
    <t>Nguyễn Đức Hoàng</t>
  </si>
  <si>
    <t>17/2/1975</t>
  </si>
  <si>
    <t>0905629168</t>
  </si>
  <si>
    <t>Lê Thị Lệ Cúc</t>
  </si>
  <si>
    <t>0775812740</t>
  </si>
  <si>
    <t>Nguyễn Lê Ngọc Minh</t>
  </si>
  <si>
    <t>21/4/2005</t>
  </si>
  <si>
    <t>Nguyễn Đức Trí</t>
  </si>
  <si>
    <t>1/1/2010</t>
  </si>
  <si>
    <t>Nguyễn Lê Ngọc Thức</t>
  </si>
  <si>
    <t>10/8/2012</t>
  </si>
  <si>
    <t>Đặng Thị Công</t>
  </si>
  <si>
    <t>2/5/1961</t>
  </si>
  <si>
    <t>0768407685</t>
  </si>
  <si>
    <t>Đặng Thị Tuyết Châu</t>
  </si>
  <si>
    <t>1/1/1999</t>
  </si>
  <si>
    <t>Đặng Thị Phước Hà</t>
  </si>
  <si>
    <t>2/1/1970</t>
  </si>
  <si>
    <t>0798003585</t>
  </si>
  <si>
    <t>Lê Minh Thắng</t>
  </si>
  <si>
    <t>9/3/1997</t>
  </si>
  <si>
    <t>0935396962</t>
  </si>
  <si>
    <t>Lê Minh Tâm</t>
  </si>
  <si>
    <t>16/2/2008</t>
  </si>
  <si>
    <t>0762607688</t>
  </si>
  <si>
    <t>Nguyễn Thị Kiều Trinh</t>
  </si>
  <si>
    <t>1/1/1997</t>
  </si>
  <si>
    <t>0934774811</t>
  </si>
  <si>
    <t>Nguyễn Phát</t>
  </si>
  <si>
    <t>1/1/1972</t>
  </si>
  <si>
    <t>0914076903</t>
  </si>
  <si>
    <t>VPBank</t>
  </si>
  <si>
    <t>Đặng Thị Bé</t>
  </si>
  <si>
    <t>27/5/1975</t>
  </si>
  <si>
    <t>0799361802</t>
  </si>
  <si>
    <t>Nguyễn Đức Thiện</t>
  </si>
  <si>
    <t>23/6/1997</t>
  </si>
  <si>
    <t>0932509014</t>
  </si>
  <si>
    <t>Nguyễn Hương Giang</t>
  </si>
  <si>
    <t>5/7/2001</t>
  </si>
  <si>
    <t>Nguyễn Thị Yến Nhi</t>
  </si>
  <si>
    <t>15/5/2010</t>
  </si>
  <si>
    <t>Nguyễn Thị Khánh Ly</t>
  </si>
  <si>
    <t>1997</t>
  </si>
  <si>
    <t>0985362730</t>
  </si>
  <si>
    <t>HB</t>
  </si>
  <si>
    <t>Nguyễn Thông</t>
  </si>
  <si>
    <t>0935309438</t>
  </si>
  <si>
    <t>Đặng Thị Quyến</t>
  </si>
  <si>
    <t>1/1/1985</t>
  </si>
  <si>
    <t>0795439415</t>
  </si>
  <si>
    <t>Nguyễn Đức Minh</t>
  </si>
  <si>
    <t>8/2/2007</t>
  </si>
  <si>
    <t>0777418665</t>
  </si>
  <si>
    <t>Nguyễn Thị Tâm</t>
  </si>
  <si>
    <t>1/1/2009</t>
  </si>
  <si>
    <t>0795552803</t>
  </si>
  <si>
    <t>Nguyễn Thị Trình</t>
  </si>
  <si>
    <t>20/10/1955</t>
  </si>
  <si>
    <t>0905502011</t>
  </si>
  <si>
    <t>Nguyễn Đình Hùng</t>
  </si>
  <si>
    <t>2/1/1988</t>
  </si>
  <si>
    <t>Đoàn Thị Lệ Thái</t>
  </si>
  <si>
    <t>10/11/1988</t>
  </si>
  <si>
    <t>0905006096</t>
  </si>
  <si>
    <t>Nguyễn Hoàng Anh Kim</t>
  </si>
  <si>
    <t>18/10/2015</t>
  </si>
  <si>
    <t>Nguyễn Lê Khánh Hưng</t>
  </si>
  <si>
    <t>2/8/2017</t>
  </si>
  <si>
    <t>Nguyễn Sương</t>
  </si>
  <si>
    <t>1/1/1946</t>
  </si>
  <si>
    <t>0905937827</t>
  </si>
  <si>
    <t>Nguyễn Thị Dững</t>
  </si>
  <si>
    <t>1/1/1947</t>
  </si>
  <si>
    <t>Đặng Minh</t>
  </si>
  <si>
    <t>10/12/1962</t>
  </si>
  <si>
    <t>0793517747</t>
  </si>
  <si>
    <t>Bùi Thị Đến</t>
  </si>
  <si>
    <t>20/12/1959</t>
  </si>
  <si>
    <t>0763696858</t>
  </si>
  <si>
    <t>Đặng Vương Quốc</t>
  </si>
  <si>
    <t>15/11/1995</t>
  </si>
  <si>
    <t>Đặng Thị Châu</t>
  </si>
  <si>
    <t>0918282908</t>
  </si>
  <si>
    <t>Đặng Thị Khanh</t>
  </si>
  <si>
    <t>7/4/1987</t>
  </si>
  <si>
    <t>0772400525</t>
  </si>
  <si>
    <t>Nguyễn Thị Nguyệt</t>
  </si>
  <si>
    <t>6/10/1991</t>
  </si>
  <si>
    <t>0789455695</t>
  </si>
  <si>
    <t>Đặng Minh Khang</t>
  </si>
  <si>
    <t>6/5/2021</t>
  </si>
  <si>
    <t>Đặng Đăng Khôi</t>
  </si>
  <si>
    <t>2/2/2016</t>
  </si>
  <si>
    <t>Nguyễn Thị Kiều Tiên</t>
  </si>
  <si>
    <t>6/5/1978</t>
  </si>
  <si>
    <t>0935615080</t>
  </si>
  <si>
    <t>Đặng Anh Tài</t>
  </si>
  <si>
    <t>0793120579</t>
  </si>
  <si>
    <t>Đặng Thị Thảo Nguyên</t>
  </si>
  <si>
    <t>10/11/2009</t>
  </si>
  <si>
    <t>0798093220</t>
  </si>
  <si>
    <t>Nguyễn Thương</t>
  </si>
  <si>
    <t>1/1/1983</t>
  </si>
  <si>
    <t>Nguyễn Thị Hồng Nhung</t>
  </si>
  <si>
    <t>1/1/1941</t>
  </si>
  <si>
    <t>0763622700</t>
  </si>
  <si>
    <t>Nguyễn Thị Trang</t>
  </si>
  <si>
    <t>1/12/2013</t>
  </si>
  <si>
    <t>Nguyễn Bảo Nguyên</t>
  </si>
  <si>
    <t>16/6/2015</t>
  </si>
  <si>
    <t>Nguyễn Đức Huy</t>
  </si>
  <si>
    <t>30/6/2019</t>
  </si>
  <si>
    <t>Lê Văn Chung</t>
  </si>
  <si>
    <t>20/1/1978</t>
  </si>
  <si>
    <t>0905570310</t>
  </si>
  <si>
    <t>Nguyễn Thị Nở</t>
  </si>
  <si>
    <t>19/8/1978</t>
  </si>
  <si>
    <t>0775409722</t>
  </si>
  <si>
    <t>Lê Thị Đoan Thư</t>
  </si>
  <si>
    <t>14/4/2002</t>
  </si>
  <si>
    <t>Lê Nguyễn Thành Nhân</t>
  </si>
  <si>
    <t>11/9/2009</t>
  </si>
  <si>
    <t>Huỳnh Mạnh Dũng</t>
  </si>
  <si>
    <t>5/9/1973</t>
  </si>
  <si>
    <t>0905178572</t>
  </si>
  <si>
    <t>Nguyễn Thị Thảo</t>
  </si>
  <si>
    <t>3/1/1973</t>
  </si>
  <si>
    <t>0905868572</t>
  </si>
  <si>
    <t>Huỳnh Thị Hoàng Yến</t>
  </si>
  <si>
    <t>15/8/1994</t>
  </si>
  <si>
    <t>Huỳnh Mạnh cường</t>
  </si>
  <si>
    <t>12/7/2004</t>
  </si>
  <si>
    <t>Huỳnh Thị Hoàng Xuy</t>
  </si>
  <si>
    <t>25/5/2015</t>
  </si>
  <si>
    <t>Đặng Đa</t>
  </si>
  <si>
    <t>11/5/1970</t>
  </si>
  <si>
    <t>0387614494</t>
  </si>
  <si>
    <t>Phan Thị Ngọc Tài</t>
  </si>
  <si>
    <t>0905272996</t>
  </si>
  <si>
    <t>Đặng Huyền Chiêu</t>
  </si>
  <si>
    <t>29/3/2003</t>
  </si>
  <si>
    <t>Đặng Phan Uyên</t>
  </si>
  <si>
    <t>Đặng Đây</t>
  </si>
  <si>
    <t>1/1/1936</t>
  </si>
  <si>
    <t>0935695605</t>
  </si>
  <si>
    <t>Lê Thị Gủ</t>
  </si>
  <si>
    <t>1/1/1937</t>
  </si>
  <si>
    <t>1/1/1982</t>
  </si>
  <si>
    <t>Phan Thị Mỹ Châu</t>
  </si>
  <si>
    <t>10/9/1982</t>
  </si>
  <si>
    <t>Đặng Phan Anh Nguyên</t>
  </si>
  <si>
    <t>12/9/2005</t>
  </si>
  <si>
    <t>Đặng Nam Anh</t>
  </si>
  <si>
    <t>6/4/2015</t>
  </si>
  <si>
    <t>Đặng Văn Đệ</t>
  </si>
  <si>
    <t>1/1/1963</t>
  </si>
  <si>
    <t>0779545689</t>
  </si>
  <si>
    <t>Nguyễn Thị Nhung</t>
  </si>
  <si>
    <t>30/1/1968</t>
  </si>
  <si>
    <t>0931965931</t>
  </si>
  <si>
    <t>Đặng Phú Đạt</t>
  </si>
  <si>
    <t>22/12/1996</t>
  </si>
  <si>
    <t>Đinh Văn Nhân</t>
  </si>
  <si>
    <t>091411637</t>
  </si>
  <si>
    <t>Đặng Thị Duẩn</t>
  </si>
  <si>
    <t>8/8/1976</t>
  </si>
  <si>
    <t>0975073529</t>
  </si>
  <si>
    <t>Đinh Thị Nga</t>
  </si>
  <si>
    <t>9/8/1998</t>
  </si>
  <si>
    <t>0934844657</t>
  </si>
  <si>
    <t>Đinh Văn Việt Hoàng</t>
  </si>
  <si>
    <t>1/1/2002</t>
  </si>
  <si>
    <t>0905816934</t>
  </si>
  <si>
    <t>Đinh Uyển Nhi</t>
  </si>
  <si>
    <t>15/6/2006</t>
  </si>
  <si>
    <t>0935275629</t>
  </si>
  <si>
    <t>Hộ</t>
  </si>
  <si>
    <t>Nhân khẩu</t>
  </si>
  <si>
    <t>0934964208</t>
  </si>
  <si>
    <t>0799465988</t>
  </si>
  <si>
    <t>0766532541</t>
  </si>
  <si>
    <t>0705992477</t>
  </si>
  <si>
    <t>0787676209</t>
  </si>
  <si>
    <t>0914113383</t>
  </si>
  <si>
    <t>0905448001</t>
  </si>
  <si>
    <t>0905766207</t>
  </si>
  <si>
    <t>0352655841</t>
  </si>
  <si>
    <t>0933240049</t>
  </si>
  <si>
    <t>BND THÔN LỆ SƠN BẮC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</si>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</sst>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b/>
      <u/>
      <sz val="13.5"/>
      <color theme="1"/>
      <name val="Times New Roman"/>
      <family val="1"/>
    </font>
    <font>
      <b/>
      <sz val="8.5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228600</xdr:rowOff>
    </xdr:from>
    <xdr:to>
      <xdr:col>2</xdr:col>
      <xdr:colOff>1819275</xdr:colOff>
      <xdr:row>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181100" y="466725"/>
          <a:ext cx="95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3"/>
  <sheetViews>
    <sheetView tabSelected="1" topLeftCell="B1" zoomScale="125" zoomScaleNormal="85" workbookViewId="0">
      <selection activeCell="S297" sqref="S297"/>
    </sheetView>
  </sheetViews>
  <sheetFormatPr defaultColWidth="9.140625" defaultRowHeight="18.75" x14ac:dyDescent="0.3"/>
  <cols>
    <col min="1" max="1" width="4.28515625" style="5" customWidth="1"/>
    <col min="2" max="2" width="4.7109375" style="1" customWidth="1"/>
    <col min="3" max="3" width="30.140625" style="1" customWidth="1"/>
    <col min="4" max="4" width="14.7109375" style="21" customWidth="1"/>
    <col min="5" max="5" width="11.7109375" style="5" customWidth="1"/>
    <col min="6" max="6" width="9.85546875" style="5" customWidth="1"/>
    <col min="7" max="7" width="16.140625" style="11" customWidth="1"/>
    <col min="8" max="8" width="9.28515625" style="5" customWidth="1"/>
    <col min="9" max="10" width="7" style="5" customWidth="1"/>
    <col min="11" max="12" width="7.28515625" style="5" customWidth="1"/>
    <col min="13" max="13" width="8.28515625" style="5" customWidth="1"/>
    <col min="14" max="14" width="10.140625" style="5" customWidth="1"/>
    <col min="15" max="17" width="11" style="1" hidden="1" customWidth="1"/>
    <col min="18" max="16384" width="9.140625" style="1"/>
  </cols>
  <sheetData>
    <row r="1" spans="1:17" x14ac:dyDescent="0.3">
      <c r="B1" s="26" t="s">
        <v>0</v>
      </c>
      <c r="C1" s="26"/>
      <c r="D1" s="26"/>
      <c r="E1" s="8"/>
      <c r="F1" s="26" t="s">
        <v>12</v>
      </c>
      <c r="G1" s="26"/>
      <c r="H1" s="26"/>
      <c r="I1" s="26"/>
      <c r="J1" s="26"/>
      <c r="K1" s="26"/>
      <c r="L1" s="26"/>
      <c r="M1" s="26"/>
      <c r="N1" s="26"/>
    </row>
    <row r="2" spans="1:17" x14ac:dyDescent="0.3">
      <c r="B2" s="26" t="s">
        <v>753</v>
      </c>
      <c r="C2" s="26"/>
      <c r="D2" s="26"/>
      <c r="E2" s="8"/>
      <c r="F2" s="27" t="s">
        <v>13</v>
      </c>
      <c r="G2" s="27"/>
      <c r="H2" s="27"/>
      <c r="I2" s="27"/>
      <c r="J2" s="27"/>
      <c r="K2" s="27"/>
      <c r="L2" s="27"/>
      <c r="M2" s="27"/>
      <c r="N2" s="27"/>
    </row>
    <row r="3" spans="1:17" ht="51.75" customHeight="1" x14ac:dyDescent="0.3">
      <c r="B3" s="25" t="s">
        <v>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7" ht="12" customHeight="1" x14ac:dyDescent="0.2">
      <c r="B4" s="24"/>
      <c r="C4" s="24"/>
      <c r="D4" s="24"/>
      <c r="E4" s="24"/>
      <c r="F4" s="24"/>
      <c r="G4" s="24"/>
      <c r="H4" s="24"/>
    </row>
    <row r="5" spans="1:17" s="2" customFormat="1" ht="125.25" customHeight="1" x14ac:dyDescent="0.25">
      <c r="A5" s="28" t="s">
        <v>741</v>
      </c>
      <c r="B5" s="35" t="s">
        <v>742</v>
      </c>
      <c r="C5" s="33" t="s">
        <v>1</v>
      </c>
      <c r="D5" s="31" t="s">
        <v>14</v>
      </c>
      <c r="E5" s="39" t="s">
        <v>2</v>
      </c>
      <c r="F5" s="39" t="s">
        <v>15</v>
      </c>
      <c r="G5" s="37" t="s">
        <v>3</v>
      </c>
      <c r="H5" s="29" t="s">
        <v>16</v>
      </c>
      <c r="I5" s="43" t="s">
        <v>4</v>
      </c>
      <c r="J5" s="43" t="s">
        <v>5</v>
      </c>
      <c r="K5" s="43" t="s">
        <v>6</v>
      </c>
      <c r="L5" s="43" t="s">
        <v>7</v>
      </c>
      <c r="M5" s="41" t="s">
        <v>8</v>
      </c>
      <c r="N5" s="42"/>
    </row>
    <row r="6" spans="1:17" ht="84.75" customHeight="1" x14ac:dyDescent="0.3">
      <c r="A6" s="28"/>
      <c r="B6" s="36"/>
      <c r="C6" s="34"/>
      <c r="D6" s="32"/>
      <c r="E6" s="40"/>
      <c r="F6" s="40"/>
      <c r="G6" s="38"/>
      <c r="H6" s="30"/>
      <c r="I6" s="45"/>
      <c r="J6" s="45"/>
      <c r="K6" s="45"/>
      <c r="L6" s="44"/>
      <c r="M6" s="6" t="s">
        <v>9</v>
      </c>
      <c r="N6" s="6" t="s">
        <v>10</v>
      </c>
    </row>
    <row r="7" spans="1:17" s="12" customFormat="1" ht="21.75" customHeight="1" x14ac:dyDescent="0.3">
      <c r="A7" s="18">
        <v>1</v>
      </c>
      <c r="B7" s="13">
        <v>1</v>
      </c>
      <c r="C7" s="14" t="s">
        <v>36</v>
      </c>
      <c r="D7" s="19">
        <v>21551</v>
      </c>
      <c r="E7" s="16" t="s">
        <v>17</v>
      </c>
      <c r="F7" s="16" t="s">
        <v>38</v>
      </c>
      <c r="G7" s="15" t="s">
        <v>39</v>
      </c>
      <c r="H7" s="16" t="s">
        <v>23</v>
      </c>
      <c r="I7" s="16" t="s">
        <v>23</v>
      </c>
      <c r="J7" s="16" t="s">
        <v>23</v>
      </c>
      <c r="K7" s="16" t="s">
        <v>23</v>
      </c>
      <c r="L7" s="16" t="s">
        <v>23</v>
      </c>
      <c r="M7" s="16" t="s">
        <v>23</v>
      </c>
      <c r="N7" s="16" t="s">
        <v>27</v>
      </c>
      <c r="O7" s="12">
        <f>DAY(D7)</f>
        <v>1</v>
      </c>
      <c r="P7" s="12">
        <f>MONTH(D7)</f>
        <v>1</v>
      </c>
      <c r="Q7" s="12">
        <f>YEAR(D7)</f>
        <v>1959</v>
      </c>
    </row>
    <row r="8" spans="1:17" ht="21.75" customHeight="1" x14ac:dyDescent="0.3">
      <c r="B8" s="4">
        <v>2</v>
      </c>
      <c r="C8" s="3" t="s">
        <v>40</v>
      </c>
      <c r="D8" s="20">
        <v>21551</v>
      </c>
      <c r="E8" s="7" t="s">
        <v>18</v>
      </c>
      <c r="F8" s="7" t="s">
        <v>38</v>
      </c>
      <c r="G8" s="10" t="s">
        <v>41</v>
      </c>
      <c r="H8" s="7"/>
      <c r="I8" s="7"/>
      <c r="J8" s="7"/>
      <c r="K8" s="7" t="s">
        <v>23</v>
      </c>
      <c r="L8" s="7"/>
      <c r="M8" s="7" t="s">
        <v>23</v>
      </c>
      <c r="N8" s="7" t="s">
        <v>42</v>
      </c>
      <c r="O8" s="12">
        <f t="shared" ref="O8:O71" si="0">DAY(D8)</f>
        <v>1</v>
      </c>
      <c r="P8" s="12">
        <f t="shared" ref="P8:P71" si="1">MONTH(D8)</f>
        <v>1</v>
      </c>
      <c r="Q8" s="12">
        <f t="shared" ref="Q8:Q71" si="2">YEAR(D8)</f>
        <v>1959</v>
      </c>
    </row>
    <row r="9" spans="1:17" ht="21.75" customHeight="1" x14ac:dyDescent="0.3">
      <c r="B9" s="4">
        <v>3</v>
      </c>
      <c r="C9" s="3" t="s">
        <v>43</v>
      </c>
      <c r="D9" s="20">
        <v>30583</v>
      </c>
      <c r="E9" s="7" t="s">
        <v>19</v>
      </c>
      <c r="F9" s="7" t="s">
        <v>38</v>
      </c>
      <c r="G9" s="10" t="s">
        <v>44</v>
      </c>
      <c r="H9" s="7"/>
      <c r="I9" s="7"/>
      <c r="J9" s="7"/>
      <c r="K9" s="7" t="s">
        <v>23</v>
      </c>
      <c r="L9" s="7"/>
      <c r="M9" s="7" t="s">
        <v>23</v>
      </c>
      <c r="N9" s="7" t="s">
        <v>42</v>
      </c>
      <c r="O9" s="12">
        <f t="shared" si="0"/>
        <v>24</v>
      </c>
      <c r="P9" s="12">
        <f t="shared" si="1"/>
        <v>9</v>
      </c>
      <c r="Q9" s="12">
        <f t="shared" si="2"/>
        <v>1983</v>
      </c>
    </row>
    <row r="10" spans="1:17" ht="21.75" customHeight="1" x14ac:dyDescent="0.3">
      <c r="B10" s="4">
        <v>4</v>
      </c>
      <c r="C10" s="3" t="s">
        <v>45</v>
      </c>
      <c r="D10" s="20">
        <v>39415</v>
      </c>
      <c r="E10" s="7" t="s">
        <v>19</v>
      </c>
      <c r="F10" s="7" t="s">
        <v>38</v>
      </c>
      <c r="G10" s="10" t="s">
        <v>46</v>
      </c>
      <c r="H10" s="7"/>
      <c r="I10" s="7"/>
      <c r="J10" s="7"/>
      <c r="K10" s="7" t="s">
        <v>23</v>
      </c>
      <c r="L10" s="7"/>
      <c r="M10" s="7" t="s">
        <v>23</v>
      </c>
      <c r="N10" s="7" t="s">
        <v>42</v>
      </c>
      <c r="O10" s="12">
        <f t="shared" si="0"/>
        <v>29</v>
      </c>
      <c r="P10" s="12">
        <f t="shared" si="1"/>
        <v>11</v>
      </c>
      <c r="Q10" s="12">
        <f t="shared" si="2"/>
        <v>2007</v>
      </c>
    </row>
    <row r="11" spans="1:17" s="12" customFormat="1" ht="21.75" customHeight="1" x14ac:dyDescent="0.3">
      <c r="A11" s="18">
        <v>2</v>
      </c>
      <c r="B11" s="13">
        <v>5</v>
      </c>
      <c r="C11" s="14" t="s">
        <v>47</v>
      </c>
      <c r="D11" s="19">
        <v>32639</v>
      </c>
      <c r="E11" s="16" t="s">
        <v>17</v>
      </c>
      <c r="F11" s="16" t="s">
        <v>38</v>
      </c>
      <c r="G11" s="15" t="s">
        <v>48</v>
      </c>
      <c r="H11" s="17" t="s">
        <v>23</v>
      </c>
      <c r="I11" s="17" t="s">
        <v>23</v>
      </c>
      <c r="J11" s="17" t="s">
        <v>23</v>
      </c>
      <c r="K11" s="17" t="s">
        <v>23</v>
      </c>
      <c r="L11" s="17" t="s">
        <v>23</v>
      </c>
      <c r="M11" s="17" t="s">
        <v>23</v>
      </c>
      <c r="N11" s="17" t="s">
        <v>42</v>
      </c>
      <c r="O11" s="12">
        <f t="shared" si="0"/>
        <v>11</v>
      </c>
      <c r="P11" s="12">
        <f t="shared" si="1"/>
        <v>5</v>
      </c>
      <c r="Q11" s="12">
        <f t="shared" si="2"/>
        <v>1989</v>
      </c>
    </row>
    <row r="12" spans="1:17" ht="21.75" customHeight="1" x14ac:dyDescent="0.3">
      <c r="B12" s="4">
        <v>6</v>
      </c>
      <c r="C12" s="3" t="s">
        <v>49</v>
      </c>
      <c r="D12" s="20">
        <v>33495</v>
      </c>
      <c r="E12" s="7" t="s">
        <v>18</v>
      </c>
      <c r="F12" s="7" t="s">
        <v>38</v>
      </c>
      <c r="G12" s="10" t="s">
        <v>50</v>
      </c>
      <c r="H12" s="7"/>
      <c r="I12" s="7"/>
      <c r="J12" s="7"/>
      <c r="K12" s="7" t="s">
        <v>23</v>
      </c>
      <c r="L12" s="7"/>
      <c r="M12" s="7" t="s">
        <v>23</v>
      </c>
      <c r="N12" s="7" t="s">
        <v>42</v>
      </c>
      <c r="O12" s="12">
        <f t="shared" si="0"/>
        <v>14</v>
      </c>
      <c r="P12" s="12">
        <f t="shared" si="1"/>
        <v>9</v>
      </c>
      <c r="Q12" s="12">
        <f t="shared" si="2"/>
        <v>1991</v>
      </c>
    </row>
    <row r="13" spans="1:17" ht="21.75" customHeight="1" x14ac:dyDescent="0.3">
      <c r="B13" s="13">
        <v>7</v>
      </c>
      <c r="C13" s="3" t="s">
        <v>51</v>
      </c>
      <c r="D13" s="20">
        <v>41301</v>
      </c>
      <c r="E13" s="7" t="s">
        <v>19</v>
      </c>
      <c r="F13" s="7" t="s">
        <v>38</v>
      </c>
      <c r="G13" s="10"/>
      <c r="H13" s="7"/>
      <c r="I13" s="7"/>
      <c r="J13" s="7"/>
      <c r="K13" s="7"/>
      <c r="L13" s="7"/>
      <c r="M13" s="7"/>
      <c r="N13" s="7"/>
      <c r="O13" s="12">
        <f t="shared" si="0"/>
        <v>27</v>
      </c>
      <c r="P13" s="12">
        <f t="shared" si="1"/>
        <v>1</v>
      </c>
      <c r="Q13" s="12">
        <f t="shared" si="2"/>
        <v>2013</v>
      </c>
    </row>
    <row r="14" spans="1:17" s="12" customFormat="1" ht="21.75" customHeight="1" x14ac:dyDescent="0.3">
      <c r="A14" s="18">
        <v>3</v>
      </c>
      <c r="B14" s="13">
        <v>8</v>
      </c>
      <c r="C14" s="14" t="s">
        <v>52</v>
      </c>
      <c r="D14" s="19">
        <v>23743</v>
      </c>
      <c r="E14" s="16" t="s">
        <v>17</v>
      </c>
      <c r="F14" s="16" t="s">
        <v>38</v>
      </c>
      <c r="G14" s="15" t="s">
        <v>54</v>
      </c>
      <c r="H14" s="17" t="s">
        <v>23</v>
      </c>
      <c r="I14" s="17" t="s">
        <v>23</v>
      </c>
      <c r="J14" s="17" t="s">
        <v>23</v>
      </c>
      <c r="K14" s="17" t="s">
        <v>23</v>
      </c>
      <c r="L14" s="17"/>
      <c r="M14" s="17" t="s">
        <v>23</v>
      </c>
      <c r="N14" s="17" t="s">
        <v>42</v>
      </c>
      <c r="O14" s="12">
        <f t="shared" si="0"/>
        <v>1</v>
      </c>
      <c r="P14" s="12">
        <f t="shared" si="1"/>
        <v>1</v>
      </c>
      <c r="Q14" s="12">
        <f t="shared" si="2"/>
        <v>1965</v>
      </c>
    </row>
    <row r="15" spans="1:17" ht="21.75" customHeight="1" x14ac:dyDescent="0.3">
      <c r="B15" s="4">
        <v>9</v>
      </c>
      <c r="C15" s="3" t="s">
        <v>55</v>
      </c>
      <c r="D15" s="20">
        <v>23731</v>
      </c>
      <c r="E15" s="7" t="s">
        <v>18</v>
      </c>
      <c r="F15" s="7" t="s">
        <v>38</v>
      </c>
      <c r="G15" s="10" t="s">
        <v>48</v>
      </c>
      <c r="H15" s="7"/>
      <c r="I15" s="7"/>
      <c r="J15" s="7"/>
      <c r="K15" s="7" t="s">
        <v>23</v>
      </c>
      <c r="L15" s="7"/>
      <c r="M15" s="7" t="s">
        <v>23</v>
      </c>
      <c r="N15" s="9" t="s">
        <v>42</v>
      </c>
      <c r="O15" s="12">
        <f t="shared" si="0"/>
        <v>20</v>
      </c>
      <c r="P15" s="12">
        <f t="shared" si="1"/>
        <v>12</v>
      </c>
      <c r="Q15" s="12">
        <f t="shared" si="2"/>
        <v>1964</v>
      </c>
    </row>
    <row r="16" spans="1:17" ht="21.75" customHeight="1" x14ac:dyDescent="0.3">
      <c r="B16" s="4">
        <v>10</v>
      </c>
      <c r="C16" s="3" t="s">
        <v>56</v>
      </c>
      <c r="D16" s="20">
        <v>33977</v>
      </c>
      <c r="E16" s="7" t="s">
        <v>19</v>
      </c>
      <c r="F16" s="7" t="s">
        <v>38</v>
      </c>
      <c r="G16" s="10" t="s">
        <v>57</v>
      </c>
      <c r="H16" s="7"/>
      <c r="I16" s="7"/>
      <c r="J16" s="7"/>
      <c r="K16" s="7" t="s">
        <v>23</v>
      </c>
      <c r="L16" s="7"/>
      <c r="M16" s="7" t="s">
        <v>23</v>
      </c>
      <c r="N16" s="9" t="s">
        <v>42</v>
      </c>
      <c r="O16" s="12">
        <f t="shared" si="0"/>
        <v>8</v>
      </c>
      <c r="P16" s="12">
        <f t="shared" si="1"/>
        <v>1</v>
      </c>
      <c r="Q16" s="12">
        <f t="shared" si="2"/>
        <v>1993</v>
      </c>
    </row>
    <row r="17" spans="1:17" ht="21.75" customHeight="1" x14ac:dyDescent="0.3">
      <c r="B17" s="4">
        <v>11</v>
      </c>
      <c r="C17" s="3" t="s">
        <v>58</v>
      </c>
      <c r="D17" s="20">
        <v>1996</v>
      </c>
      <c r="E17" s="7" t="s">
        <v>19</v>
      </c>
      <c r="F17" s="7" t="s">
        <v>38</v>
      </c>
      <c r="G17" s="10" t="s">
        <v>54</v>
      </c>
      <c r="H17" s="7"/>
      <c r="I17" s="7"/>
      <c r="J17" s="7"/>
      <c r="K17" s="7" t="s">
        <v>23</v>
      </c>
      <c r="L17" s="7"/>
      <c r="M17" s="7" t="s">
        <v>23</v>
      </c>
      <c r="N17" s="9" t="s">
        <v>42</v>
      </c>
      <c r="O17" s="12">
        <f t="shared" si="0"/>
        <v>18</v>
      </c>
      <c r="P17" s="12">
        <f t="shared" si="1"/>
        <v>6</v>
      </c>
      <c r="Q17" s="12">
        <f t="shared" si="2"/>
        <v>1905</v>
      </c>
    </row>
    <row r="18" spans="1:17" ht="21.75" customHeight="1" x14ac:dyDescent="0.3">
      <c r="B18" s="4">
        <v>12</v>
      </c>
      <c r="C18" s="3" t="s">
        <v>59</v>
      </c>
      <c r="D18" s="20">
        <v>43636</v>
      </c>
      <c r="E18" s="7" t="s">
        <v>22</v>
      </c>
      <c r="F18" s="7" t="s">
        <v>38</v>
      </c>
      <c r="G18" s="10"/>
      <c r="H18" s="7"/>
      <c r="I18" s="7"/>
      <c r="J18" s="7"/>
      <c r="K18" s="7"/>
      <c r="L18" s="7"/>
      <c r="M18" s="7"/>
      <c r="N18" s="7"/>
      <c r="O18" s="12">
        <f t="shared" si="0"/>
        <v>20</v>
      </c>
      <c r="P18" s="12">
        <f t="shared" si="1"/>
        <v>6</v>
      </c>
      <c r="Q18" s="12">
        <f t="shared" si="2"/>
        <v>2019</v>
      </c>
    </row>
    <row r="19" spans="1:17" s="12" customFormat="1" ht="21.75" customHeight="1" x14ac:dyDescent="0.3">
      <c r="A19" s="18">
        <v>4</v>
      </c>
      <c r="B19" s="13">
        <v>13</v>
      </c>
      <c r="C19" s="14" t="s">
        <v>60</v>
      </c>
      <c r="D19" s="19">
        <v>33042</v>
      </c>
      <c r="E19" s="16" t="s">
        <v>17</v>
      </c>
      <c r="F19" s="16" t="s">
        <v>38</v>
      </c>
      <c r="G19" s="15" t="s">
        <v>61</v>
      </c>
      <c r="H19" s="16" t="s">
        <v>23</v>
      </c>
      <c r="I19" s="16" t="s">
        <v>23</v>
      </c>
      <c r="J19" s="16" t="s">
        <v>23</v>
      </c>
      <c r="K19" s="16" t="s">
        <v>23</v>
      </c>
      <c r="L19" s="16" t="s">
        <v>23</v>
      </c>
      <c r="M19" s="16" t="s">
        <v>23</v>
      </c>
      <c r="N19" s="16" t="s">
        <v>24</v>
      </c>
      <c r="O19" s="12">
        <f t="shared" si="0"/>
        <v>18</v>
      </c>
      <c r="P19" s="12">
        <f t="shared" si="1"/>
        <v>6</v>
      </c>
      <c r="Q19" s="12">
        <f t="shared" si="2"/>
        <v>1990</v>
      </c>
    </row>
    <row r="20" spans="1:17" ht="21.75" customHeight="1" x14ac:dyDescent="0.3">
      <c r="B20" s="4">
        <v>14</v>
      </c>
      <c r="C20" s="3" t="s">
        <v>62</v>
      </c>
      <c r="D20" s="20">
        <v>34616</v>
      </c>
      <c r="E20" s="7" t="s">
        <v>18</v>
      </c>
      <c r="F20" s="7" t="s">
        <v>38</v>
      </c>
      <c r="G20" s="10" t="s">
        <v>61</v>
      </c>
      <c r="H20" s="7"/>
      <c r="I20" s="7"/>
      <c r="J20" s="7"/>
      <c r="K20" s="7" t="s">
        <v>23</v>
      </c>
      <c r="L20" s="7"/>
      <c r="M20" s="7" t="s">
        <v>23</v>
      </c>
      <c r="N20" s="7" t="s">
        <v>30</v>
      </c>
      <c r="O20" s="12">
        <f t="shared" si="0"/>
        <v>9</v>
      </c>
      <c r="P20" s="12">
        <f t="shared" si="1"/>
        <v>10</v>
      </c>
      <c r="Q20" s="12">
        <f t="shared" si="2"/>
        <v>1994</v>
      </c>
    </row>
    <row r="21" spans="1:17" ht="21.75" customHeight="1" x14ac:dyDescent="0.3">
      <c r="B21" s="4">
        <v>15</v>
      </c>
      <c r="C21" s="3" t="s">
        <v>63</v>
      </c>
      <c r="D21" s="20">
        <v>42081</v>
      </c>
      <c r="E21" s="7" t="s">
        <v>19</v>
      </c>
      <c r="F21" s="7" t="s">
        <v>38</v>
      </c>
      <c r="G21" s="10"/>
      <c r="H21" s="7"/>
      <c r="I21" s="7"/>
      <c r="J21" s="7"/>
      <c r="K21" s="7"/>
      <c r="L21" s="7"/>
      <c r="M21" s="7"/>
      <c r="N21" s="7"/>
      <c r="O21" s="12">
        <f t="shared" si="0"/>
        <v>18</v>
      </c>
      <c r="P21" s="12">
        <f t="shared" si="1"/>
        <v>3</v>
      </c>
      <c r="Q21" s="12">
        <f t="shared" si="2"/>
        <v>2015</v>
      </c>
    </row>
    <row r="22" spans="1:17" s="12" customFormat="1" ht="21.75" customHeight="1" x14ac:dyDescent="0.3">
      <c r="A22" s="18">
        <v>5</v>
      </c>
      <c r="B22" s="13">
        <v>16</v>
      </c>
      <c r="C22" s="14" t="s">
        <v>64</v>
      </c>
      <c r="D22" s="19">
        <v>25039</v>
      </c>
      <c r="E22" s="16" t="s">
        <v>17</v>
      </c>
      <c r="F22" s="16" t="s">
        <v>38</v>
      </c>
      <c r="G22" s="15" t="s">
        <v>65</v>
      </c>
      <c r="H22" s="16" t="s">
        <v>23</v>
      </c>
      <c r="I22" s="16" t="s">
        <v>23</v>
      </c>
      <c r="J22" s="16" t="s">
        <v>23</v>
      </c>
      <c r="K22" s="16" t="s">
        <v>23</v>
      </c>
      <c r="L22" s="16" t="s">
        <v>23</v>
      </c>
      <c r="M22" s="16" t="s">
        <v>23</v>
      </c>
      <c r="N22" s="16" t="s">
        <v>42</v>
      </c>
      <c r="O22" s="12">
        <f t="shared" si="0"/>
        <v>20</v>
      </c>
      <c r="P22" s="12">
        <f t="shared" si="1"/>
        <v>7</v>
      </c>
      <c r="Q22" s="12">
        <f t="shared" si="2"/>
        <v>1968</v>
      </c>
    </row>
    <row r="23" spans="1:17" ht="21.75" customHeight="1" x14ac:dyDescent="0.3">
      <c r="B23" s="4">
        <v>17</v>
      </c>
      <c r="C23" s="3" t="s">
        <v>66</v>
      </c>
      <c r="D23" s="20">
        <v>36342</v>
      </c>
      <c r="E23" s="7" t="s">
        <v>19</v>
      </c>
      <c r="F23" s="7" t="s">
        <v>38</v>
      </c>
      <c r="G23" s="10" t="s">
        <v>67</v>
      </c>
      <c r="H23" s="7"/>
      <c r="I23" s="7"/>
      <c r="J23" s="7"/>
      <c r="K23" s="7" t="s">
        <v>23</v>
      </c>
      <c r="L23" s="7"/>
      <c r="M23" s="7" t="s">
        <v>23</v>
      </c>
      <c r="N23" s="7" t="s">
        <v>68</v>
      </c>
      <c r="O23" s="12">
        <f t="shared" si="0"/>
        <v>1</v>
      </c>
      <c r="P23" s="12">
        <f t="shared" si="1"/>
        <v>7</v>
      </c>
      <c r="Q23" s="12">
        <f t="shared" si="2"/>
        <v>1999</v>
      </c>
    </row>
    <row r="24" spans="1:17" ht="21.75" customHeight="1" x14ac:dyDescent="0.3">
      <c r="B24" s="4">
        <v>18</v>
      </c>
      <c r="C24" s="3" t="s">
        <v>69</v>
      </c>
      <c r="D24" s="20">
        <v>42907</v>
      </c>
      <c r="E24" s="7" t="s">
        <v>19</v>
      </c>
      <c r="F24" s="7" t="s">
        <v>38</v>
      </c>
      <c r="G24" s="10"/>
      <c r="H24" s="7"/>
      <c r="I24" s="7"/>
      <c r="J24" s="7"/>
      <c r="K24" s="7"/>
      <c r="L24" s="7"/>
      <c r="M24" s="7"/>
      <c r="N24" s="7"/>
      <c r="O24" s="12">
        <f t="shared" si="0"/>
        <v>21</v>
      </c>
      <c r="P24" s="12">
        <f t="shared" si="1"/>
        <v>6</v>
      </c>
      <c r="Q24" s="12">
        <f t="shared" si="2"/>
        <v>2017</v>
      </c>
    </row>
    <row r="25" spans="1:17" ht="21.75" customHeight="1" x14ac:dyDescent="0.3">
      <c r="B25" s="4">
        <v>19</v>
      </c>
      <c r="C25" s="3" t="s">
        <v>70</v>
      </c>
      <c r="D25" s="20">
        <v>32643</v>
      </c>
      <c r="E25" s="7" t="s">
        <v>31</v>
      </c>
      <c r="F25" s="7" t="s">
        <v>38</v>
      </c>
      <c r="G25" s="10" t="s">
        <v>71</v>
      </c>
      <c r="H25" s="7"/>
      <c r="I25" s="7"/>
      <c r="J25" s="7"/>
      <c r="K25" s="7" t="s">
        <v>23</v>
      </c>
      <c r="L25" s="7"/>
      <c r="M25" s="7" t="s">
        <v>23</v>
      </c>
      <c r="N25" s="7" t="s">
        <v>68</v>
      </c>
      <c r="O25" s="12">
        <f t="shared" si="0"/>
        <v>15</v>
      </c>
      <c r="P25" s="12">
        <f t="shared" si="1"/>
        <v>5</v>
      </c>
      <c r="Q25" s="12">
        <f t="shared" si="2"/>
        <v>1989</v>
      </c>
    </row>
    <row r="26" spans="1:17" ht="21.75" customHeight="1" x14ac:dyDescent="0.3">
      <c r="B26" s="4">
        <v>20</v>
      </c>
      <c r="C26" s="3" t="s">
        <v>72</v>
      </c>
      <c r="D26" s="20">
        <v>44344</v>
      </c>
      <c r="E26" s="7" t="s">
        <v>22</v>
      </c>
      <c r="F26" s="7" t="s">
        <v>38</v>
      </c>
      <c r="G26" s="10"/>
      <c r="H26" s="7"/>
      <c r="I26" s="7"/>
      <c r="J26" s="7"/>
      <c r="K26" s="7"/>
      <c r="L26" s="7"/>
      <c r="M26" s="7"/>
      <c r="N26" s="7"/>
      <c r="O26" s="12">
        <f t="shared" si="0"/>
        <v>28</v>
      </c>
      <c r="P26" s="12">
        <f t="shared" si="1"/>
        <v>5</v>
      </c>
      <c r="Q26" s="12">
        <f t="shared" si="2"/>
        <v>2021</v>
      </c>
    </row>
    <row r="27" spans="1:17" s="12" customFormat="1" ht="21.75" customHeight="1" x14ac:dyDescent="0.3">
      <c r="A27" s="18">
        <v>6</v>
      </c>
      <c r="B27" s="13">
        <v>21</v>
      </c>
      <c r="C27" s="14" t="s">
        <v>73</v>
      </c>
      <c r="D27" s="19">
        <v>18384</v>
      </c>
      <c r="E27" s="16" t="s">
        <v>17</v>
      </c>
      <c r="F27" s="16" t="s">
        <v>38</v>
      </c>
      <c r="G27" s="15" t="s">
        <v>74</v>
      </c>
      <c r="H27" s="16" t="s">
        <v>23</v>
      </c>
      <c r="I27" s="16" t="s">
        <v>23</v>
      </c>
      <c r="J27" s="16" t="s">
        <v>23</v>
      </c>
      <c r="K27" s="16"/>
      <c r="L27" s="16"/>
      <c r="M27" s="16" t="s">
        <v>23</v>
      </c>
      <c r="N27" s="16" t="s">
        <v>42</v>
      </c>
      <c r="O27" s="12">
        <f t="shared" si="0"/>
        <v>1</v>
      </c>
      <c r="P27" s="12">
        <f t="shared" si="1"/>
        <v>5</v>
      </c>
      <c r="Q27" s="12">
        <f t="shared" si="2"/>
        <v>1950</v>
      </c>
    </row>
    <row r="28" spans="1:17" ht="21.75" customHeight="1" x14ac:dyDescent="0.3">
      <c r="B28" s="4">
        <v>22</v>
      </c>
      <c r="C28" s="3" t="s">
        <v>75</v>
      </c>
      <c r="D28" s="20">
        <v>19795</v>
      </c>
      <c r="E28" s="7" t="s">
        <v>18</v>
      </c>
      <c r="F28" s="7" t="s">
        <v>38</v>
      </c>
      <c r="G28" s="10" t="s">
        <v>76</v>
      </c>
      <c r="H28" s="7"/>
      <c r="I28" s="7"/>
      <c r="J28" s="7"/>
      <c r="K28" s="7" t="s">
        <v>23</v>
      </c>
      <c r="L28" s="7"/>
      <c r="M28" s="7" t="s">
        <v>23</v>
      </c>
      <c r="N28" s="7" t="s">
        <v>24</v>
      </c>
      <c r="O28" s="12">
        <f t="shared" si="0"/>
        <v>12</v>
      </c>
      <c r="P28" s="12">
        <f t="shared" si="1"/>
        <v>3</v>
      </c>
      <c r="Q28" s="12">
        <f t="shared" si="2"/>
        <v>1954</v>
      </c>
    </row>
    <row r="29" spans="1:17" s="12" customFormat="1" ht="21.75" customHeight="1" x14ac:dyDescent="0.3">
      <c r="A29" s="18">
        <v>7</v>
      </c>
      <c r="B29" s="13">
        <v>23</v>
      </c>
      <c r="C29" s="14" t="s">
        <v>77</v>
      </c>
      <c r="D29" s="19">
        <v>28574</v>
      </c>
      <c r="E29" s="16" t="s">
        <v>17</v>
      </c>
      <c r="F29" s="16" t="s">
        <v>38</v>
      </c>
      <c r="G29" s="15" t="s">
        <v>78</v>
      </c>
      <c r="H29" s="16" t="s">
        <v>23</v>
      </c>
      <c r="I29" s="16" t="s">
        <v>23</v>
      </c>
      <c r="J29" s="16" t="s">
        <v>23</v>
      </c>
      <c r="K29" s="16" t="s">
        <v>23</v>
      </c>
      <c r="L29" s="16" t="s">
        <v>23</v>
      </c>
      <c r="M29" s="16" t="s">
        <v>23</v>
      </c>
      <c r="N29" s="16"/>
      <c r="O29" s="12">
        <f t="shared" si="0"/>
        <v>25</v>
      </c>
      <c r="P29" s="12">
        <f t="shared" si="1"/>
        <v>3</v>
      </c>
      <c r="Q29" s="12">
        <f t="shared" si="2"/>
        <v>1978</v>
      </c>
    </row>
    <row r="30" spans="1:17" ht="21.75" customHeight="1" x14ac:dyDescent="0.3">
      <c r="B30" s="4">
        <v>24</v>
      </c>
      <c r="C30" s="3" t="s">
        <v>79</v>
      </c>
      <c r="D30" s="20">
        <v>19277</v>
      </c>
      <c r="E30" s="7" t="s">
        <v>18</v>
      </c>
      <c r="F30" s="7" t="s">
        <v>38</v>
      </c>
      <c r="G30" s="10" t="s">
        <v>78</v>
      </c>
      <c r="H30" s="7"/>
      <c r="I30" s="7"/>
      <c r="J30" s="7"/>
      <c r="K30" s="7" t="s">
        <v>23</v>
      </c>
      <c r="L30" s="7"/>
      <c r="M30" s="7" t="s">
        <v>23</v>
      </c>
      <c r="N30" s="7" t="s">
        <v>27</v>
      </c>
      <c r="O30" s="12">
        <f t="shared" si="0"/>
        <v>10</v>
      </c>
      <c r="P30" s="12">
        <f t="shared" si="1"/>
        <v>10</v>
      </c>
      <c r="Q30" s="12">
        <f t="shared" si="2"/>
        <v>1952</v>
      </c>
    </row>
    <row r="31" spans="1:17" ht="21.75" customHeight="1" x14ac:dyDescent="0.3">
      <c r="B31" s="4">
        <v>25</v>
      </c>
      <c r="C31" s="3" t="s">
        <v>80</v>
      </c>
      <c r="D31" s="20" t="s">
        <v>81</v>
      </c>
      <c r="E31" s="7" t="s">
        <v>19</v>
      </c>
      <c r="F31" s="7" t="s">
        <v>38</v>
      </c>
      <c r="G31" s="10"/>
      <c r="H31" s="7"/>
      <c r="I31" s="7"/>
      <c r="J31" s="7"/>
      <c r="K31" s="7"/>
      <c r="L31" s="7"/>
      <c r="M31" s="7"/>
      <c r="N31" s="7"/>
      <c r="O31" s="12">
        <f t="shared" si="0"/>
        <v>29</v>
      </c>
      <c r="P31" s="12">
        <f t="shared" si="1"/>
        <v>8</v>
      </c>
      <c r="Q31" s="12">
        <f t="shared" si="2"/>
        <v>2012</v>
      </c>
    </row>
    <row r="32" spans="1:17" ht="21.75" customHeight="1" x14ac:dyDescent="0.3">
      <c r="B32" s="4">
        <v>26</v>
      </c>
      <c r="C32" s="3" t="s">
        <v>82</v>
      </c>
      <c r="D32" s="20" t="s">
        <v>83</v>
      </c>
      <c r="E32" s="7" t="s">
        <v>19</v>
      </c>
      <c r="F32" s="7" t="s">
        <v>38</v>
      </c>
      <c r="G32" s="10"/>
      <c r="H32" s="7"/>
      <c r="I32" s="7"/>
      <c r="J32" s="7"/>
      <c r="K32" s="7"/>
      <c r="L32" s="7"/>
      <c r="M32" s="7"/>
      <c r="N32" s="7"/>
      <c r="O32" s="12">
        <f t="shared" si="0"/>
        <v>14</v>
      </c>
      <c r="P32" s="12">
        <f t="shared" si="1"/>
        <v>7</v>
      </c>
      <c r="Q32" s="12">
        <f t="shared" si="2"/>
        <v>2016</v>
      </c>
    </row>
    <row r="33" spans="1:17" s="12" customFormat="1" ht="21.75" customHeight="1" x14ac:dyDescent="0.3">
      <c r="A33" s="18">
        <v>8</v>
      </c>
      <c r="B33" s="13">
        <v>27</v>
      </c>
      <c r="C33" s="14" t="s">
        <v>84</v>
      </c>
      <c r="D33" s="19" t="s">
        <v>85</v>
      </c>
      <c r="E33" s="16" t="s">
        <v>17</v>
      </c>
      <c r="F33" s="16" t="s">
        <v>38</v>
      </c>
      <c r="G33" s="15" t="s">
        <v>86</v>
      </c>
      <c r="H33" s="16" t="s">
        <v>23</v>
      </c>
      <c r="I33" s="16" t="s">
        <v>23</v>
      </c>
      <c r="J33" s="16" t="s">
        <v>23</v>
      </c>
      <c r="K33" s="16"/>
      <c r="L33" s="16"/>
      <c r="M33" s="16"/>
      <c r="N33" s="16"/>
      <c r="O33" s="12">
        <f t="shared" si="0"/>
        <v>10</v>
      </c>
      <c r="P33" s="12">
        <f t="shared" si="1"/>
        <v>10</v>
      </c>
      <c r="Q33" s="12">
        <f t="shared" si="2"/>
        <v>1945</v>
      </c>
    </row>
    <row r="34" spans="1:17" ht="21.75" customHeight="1" x14ac:dyDescent="0.3">
      <c r="B34" s="4">
        <v>28</v>
      </c>
      <c r="C34" s="3" t="s">
        <v>87</v>
      </c>
      <c r="D34" s="20" t="s">
        <v>88</v>
      </c>
      <c r="E34" s="7" t="s">
        <v>19</v>
      </c>
      <c r="F34" s="7" t="s">
        <v>38</v>
      </c>
      <c r="G34" s="10" t="s">
        <v>86</v>
      </c>
      <c r="H34" s="7"/>
      <c r="I34" s="7"/>
      <c r="J34" s="7"/>
      <c r="K34" s="7" t="s">
        <v>23</v>
      </c>
      <c r="L34" s="7"/>
      <c r="M34" s="7" t="s">
        <v>23</v>
      </c>
      <c r="N34" s="7" t="s">
        <v>42</v>
      </c>
      <c r="O34" s="12">
        <f t="shared" si="0"/>
        <v>3</v>
      </c>
      <c r="P34" s="12">
        <f t="shared" si="1"/>
        <v>8</v>
      </c>
      <c r="Q34" s="12">
        <f t="shared" si="2"/>
        <v>1973</v>
      </c>
    </row>
    <row r="35" spans="1:17" ht="21.75" customHeight="1" x14ac:dyDescent="0.3">
      <c r="B35" s="4">
        <v>29</v>
      </c>
      <c r="C35" s="3" t="s">
        <v>89</v>
      </c>
      <c r="D35" s="20" t="s">
        <v>90</v>
      </c>
      <c r="E35" s="7" t="s">
        <v>21</v>
      </c>
      <c r="F35" s="7" t="s">
        <v>38</v>
      </c>
      <c r="G35" s="10" t="s">
        <v>91</v>
      </c>
      <c r="H35" s="7"/>
      <c r="I35" s="7"/>
      <c r="J35" s="7"/>
      <c r="K35" s="7" t="s">
        <v>23</v>
      </c>
      <c r="L35" s="7"/>
      <c r="M35" s="7" t="s">
        <v>23</v>
      </c>
      <c r="N35" s="7" t="s">
        <v>24</v>
      </c>
      <c r="O35" s="12">
        <f t="shared" si="0"/>
        <v>4</v>
      </c>
      <c r="P35" s="12">
        <f t="shared" si="1"/>
        <v>11</v>
      </c>
      <c r="Q35" s="12">
        <f t="shared" si="2"/>
        <v>1974</v>
      </c>
    </row>
    <row r="36" spans="1:17" ht="21.75" customHeight="1" x14ac:dyDescent="0.3">
      <c r="B36" s="4">
        <v>30</v>
      </c>
      <c r="C36" s="3" t="s">
        <v>92</v>
      </c>
      <c r="D36" s="20" t="s">
        <v>93</v>
      </c>
      <c r="E36" s="7" t="s">
        <v>22</v>
      </c>
      <c r="F36" s="7" t="s">
        <v>38</v>
      </c>
      <c r="G36" s="10" t="s">
        <v>743</v>
      </c>
      <c r="H36" s="7"/>
      <c r="I36" s="7"/>
      <c r="J36" s="7"/>
      <c r="K36" s="7"/>
      <c r="L36" s="7"/>
      <c r="M36" s="7"/>
      <c r="N36" s="7" t="s">
        <v>25</v>
      </c>
      <c r="O36" s="12">
        <f t="shared" si="0"/>
        <v>28</v>
      </c>
      <c r="P36" s="12">
        <f t="shared" si="1"/>
        <v>10</v>
      </c>
      <c r="Q36" s="12">
        <f t="shared" si="2"/>
        <v>2008</v>
      </c>
    </row>
    <row r="37" spans="1:17" s="12" customFormat="1" ht="21.75" customHeight="1" x14ac:dyDescent="0.3">
      <c r="A37" s="18">
        <v>9</v>
      </c>
      <c r="B37" s="13">
        <v>31</v>
      </c>
      <c r="C37" s="14" t="s">
        <v>94</v>
      </c>
      <c r="D37" s="19" t="s">
        <v>95</v>
      </c>
      <c r="E37" s="16" t="s">
        <v>17</v>
      </c>
      <c r="F37" s="16" t="s">
        <v>38</v>
      </c>
      <c r="G37" s="15" t="s">
        <v>96</v>
      </c>
      <c r="H37" s="16" t="s">
        <v>23</v>
      </c>
      <c r="I37" s="16" t="s">
        <v>23</v>
      </c>
      <c r="J37" s="16" t="s">
        <v>23</v>
      </c>
      <c r="K37" s="16" t="s">
        <v>23</v>
      </c>
      <c r="L37" s="16" t="s">
        <v>23</v>
      </c>
      <c r="M37" s="16" t="s">
        <v>23</v>
      </c>
      <c r="N37" s="16" t="s">
        <v>42</v>
      </c>
      <c r="O37" s="12">
        <f t="shared" si="0"/>
        <v>1</v>
      </c>
      <c r="P37" s="12">
        <f t="shared" si="1"/>
        <v>1</v>
      </c>
      <c r="Q37" s="12">
        <f t="shared" si="2"/>
        <v>1981</v>
      </c>
    </row>
    <row r="38" spans="1:17" ht="21.75" customHeight="1" x14ac:dyDescent="0.3">
      <c r="B38" s="4">
        <v>32</v>
      </c>
      <c r="C38" s="3" t="s">
        <v>97</v>
      </c>
      <c r="D38" s="20" t="s">
        <v>98</v>
      </c>
      <c r="E38" s="7" t="s">
        <v>19</v>
      </c>
      <c r="F38" s="7" t="s">
        <v>38</v>
      </c>
      <c r="G38" s="10" t="s">
        <v>99</v>
      </c>
      <c r="H38" s="7"/>
      <c r="I38" s="7"/>
      <c r="J38" s="7"/>
      <c r="K38" s="7" t="s">
        <v>23</v>
      </c>
      <c r="L38" s="7"/>
      <c r="M38" s="7" t="s">
        <v>23</v>
      </c>
      <c r="N38" s="7" t="s">
        <v>25</v>
      </c>
      <c r="O38" s="12">
        <f t="shared" si="0"/>
        <v>11</v>
      </c>
      <c r="P38" s="12">
        <f t="shared" si="1"/>
        <v>10</v>
      </c>
      <c r="Q38" s="12">
        <f t="shared" si="2"/>
        <v>2005</v>
      </c>
    </row>
    <row r="39" spans="1:17" ht="21.75" customHeight="1" x14ac:dyDescent="0.3">
      <c r="B39" s="4">
        <v>33</v>
      </c>
      <c r="C39" s="3" t="s">
        <v>100</v>
      </c>
      <c r="D39" s="20" t="s">
        <v>101</v>
      </c>
      <c r="E39" s="7" t="s">
        <v>18</v>
      </c>
      <c r="F39" s="7" t="s">
        <v>38</v>
      </c>
      <c r="G39" s="10" t="s">
        <v>102</v>
      </c>
      <c r="H39" s="7"/>
      <c r="I39" s="7"/>
      <c r="J39" s="7"/>
      <c r="K39" s="7" t="s">
        <v>23</v>
      </c>
      <c r="L39" s="7"/>
      <c r="M39" s="7" t="s">
        <v>23</v>
      </c>
      <c r="N39" s="7" t="s">
        <v>27</v>
      </c>
      <c r="O39" s="12">
        <f t="shared" si="0"/>
        <v>2</v>
      </c>
      <c r="P39" s="12">
        <f t="shared" si="1"/>
        <v>6</v>
      </c>
      <c r="Q39" s="12">
        <f t="shared" si="2"/>
        <v>1985</v>
      </c>
    </row>
    <row r="40" spans="1:17" ht="21.75" customHeight="1" x14ac:dyDescent="0.3">
      <c r="B40" s="4">
        <v>34</v>
      </c>
      <c r="C40" s="3" t="s">
        <v>103</v>
      </c>
      <c r="D40" s="20" t="s">
        <v>104</v>
      </c>
      <c r="E40" s="7" t="s">
        <v>19</v>
      </c>
      <c r="F40" s="7" t="s">
        <v>38</v>
      </c>
      <c r="G40" s="10" t="s">
        <v>105</v>
      </c>
      <c r="H40" s="7"/>
      <c r="I40" s="7"/>
      <c r="J40" s="7"/>
      <c r="K40" s="7" t="s">
        <v>23</v>
      </c>
      <c r="L40" s="7"/>
      <c r="M40" s="7" t="s">
        <v>23</v>
      </c>
      <c r="N40" s="7" t="s">
        <v>25</v>
      </c>
      <c r="O40" s="12">
        <f t="shared" si="0"/>
        <v>1</v>
      </c>
      <c r="P40" s="12">
        <f t="shared" si="1"/>
        <v>2</v>
      </c>
      <c r="Q40" s="12">
        <f t="shared" si="2"/>
        <v>2007</v>
      </c>
    </row>
    <row r="41" spans="1:17" ht="21.75" customHeight="1" x14ac:dyDescent="0.3">
      <c r="B41" s="4">
        <v>35</v>
      </c>
      <c r="C41" s="3" t="s">
        <v>106</v>
      </c>
      <c r="D41" s="20" t="s">
        <v>107</v>
      </c>
      <c r="E41" s="7" t="s">
        <v>19</v>
      </c>
      <c r="F41" s="7" t="s">
        <v>38</v>
      </c>
      <c r="G41" s="10"/>
      <c r="H41" s="7"/>
      <c r="I41" s="7"/>
      <c r="J41" s="7"/>
      <c r="K41" s="7"/>
      <c r="L41" s="7"/>
      <c r="M41" s="7"/>
      <c r="N41" s="7"/>
      <c r="O41" s="12">
        <f t="shared" si="0"/>
        <v>7</v>
      </c>
      <c r="P41" s="12">
        <f t="shared" si="1"/>
        <v>7</v>
      </c>
      <c r="Q41" s="12">
        <f t="shared" si="2"/>
        <v>2015</v>
      </c>
    </row>
    <row r="42" spans="1:17" s="12" customFormat="1" ht="21.75" customHeight="1" x14ac:dyDescent="0.3">
      <c r="A42" s="18">
        <v>10</v>
      </c>
      <c r="B42" s="13">
        <v>36</v>
      </c>
      <c r="C42" s="14" t="s">
        <v>108</v>
      </c>
      <c r="D42" s="19" t="s">
        <v>109</v>
      </c>
      <c r="E42" s="16" t="s">
        <v>17</v>
      </c>
      <c r="F42" s="16" t="s">
        <v>38</v>
      </c>
      <c r="G42" s="15" t="s">
        <v>110</v>
      </c>
      <c r="H42" s="16" t="s">
        <v>23</v>
      </c>
      <c r="I42" s="16" t="s">
        <v>23</v>
      </c>
      <c r="J42" s="16" t="s">
        <v>23</v>
      </c>
      <c r="K42" s="16" t="s">
        <v>23</v>
      </c>
      <c r="L42" s="16" t="s">
        <v>23</v>
      </c>
      <c r="M42" s="16" t="s">
        <v>23</v>
      </c>
      <c r="N42" s="16" t="s">
        <v>111</v>
      </c>
      <c r="O42" s="12">
        <f t="shared" si="0"/>
        <v>20</v>
      </c>
      <c r="P42" s="12">
        <f t="shared" si="1"/>
        <v>8</v>
      </c>
      <c r="Q42" s="12">
        <f t="shared" si="2"/>
        <v>1985</v>
      </c>
    </row>
    <row r="43" spans="1:17" ht="21.75" customHeight="1" x14ac:dyDescent="0.3">
      <c r="B43" s="4">
        <v>37</v>
      </c>
      <c r="C43" s="3" t="s">
        <v>112</v>
      </c>
      <c r="D43" s="20" t="s">
        <v>113</v>
      </c>
      <c r="E43" s="7" t="s">
        <v>18</v>
      </c>
      <c r="F43" s="7" t="s">
        <v>38</v>
      </c>
      <c r="G43" s="10" t="s">
        <v>114</v>
      </c>
      <c r="H43" s="7"/>
      <c r="I43" s="7"/>
      <c r="J43" s="7"/>
      <c r="K43" s="7" t="s">
        <v>23</v>
      </c>
      <c r="L43" s="7"/>
      <c r="M43" s="7" t="s">
        <v>23</v>
      </c>
      <c r="N43" s="7" t="s">
        <v>111</v>
      </c>
      <c r="O43" s="12">
        <f t="shared" si="0"/>
        <v>30</v>
      </c>
      <c r="P43" s="12">
        <f t="shared" si="1"/>
        <v>4</v>
      </c>
      <c r="Q43" s="12">
        <f t="shared" si="2"/>
        <v>1987</v>
      </c>
    </row>
    <row r="44" spans="1:17" ht="21.75" customHeight="1" x14ac:dyDescent="0.3">
      <c r="B44" s="4">
        <v>38</v>
      </c>
      <c r="C44" s="3" t="s">
        <v>115</v>
      </c>
      <c r="D44" s="20" t="s">
        <v>116</v>
      </c>
      <c r="E44" s="7" t="s">
        <v>19</v>
      </c>
      <c r="F44" s="7" t="s">
        <v>38</v>
      </c>
      <c r="G44" s="10" t="s">
        <v>28</v>
      </c>
      <c r="H44" s="7"/>
      <c r="I44" s="7"/>
      <c r="J44" s="7"/>
      <c r="K44" s="7"/>
      <c r="L44" s="7"/>
      <c r="M44" s="7"/>
      <c r="N44" s="7"/>
      <c r="O44" s="12">
        <f t="shared" si="0"/>
        <v>4</v>
      </c>
      <c r="P44" s="12">
        <f t="shared" si="1"/>
        <v>10</v>
      </c>
      <c r="Q44" s="12">
        <f t="shared" si="2"/>
        <v>2013</v>
      </c>
    </row>
    <row r="45" spans="1:17" ht="21.75" customHeight="1" x14ac:dyDescent="0.3">
      <c r="B45" s="4">
        <v>39</v>
      </c>
      <c r="C45" s="3" t="s">
        <v>117</v>
      </c>
      <c r="D45" s="20" t="s">
        <v>118</v>
      </c>
      <c r="E45" s="7" t="s">
        <v>19</v>
      </c>
      <c r="F45" s="7" t="s">
        <v>38</v>
      </c>
      <c r="G45" s="10"/>
      <c r="H45" s="7"/>
      <c r="I45" s="7"/>
      <c r="J45" s="7"/>
      <c r="K45" s="7"/>
      <c r="L45" s="7"/>
      <c r="M45" s="7"/>
      <c r="N45" s="7"/>
      <c r="O45" s="12">
        <f t="shared" si="0"/>
        <v>29</v>
      </c>
      <c r="P45" s="12">
        <f t="shared" si="1"/>
        <v>12</v>
      </c>
      <c r="Q45" s="12">
        <f t="shared" si="2"/>
        <v>2019</v>
      </c>
    </row>
    <row r="46" spans="1:17" s="12" customFormat="1" ht="21.75" customHeight="1" x14ac:dyDescent="0.3">
      <c r="A46" s="18">
        <v>11</v>
      </c>
      <c r="B46" s="13">
        <v>40</v>
      </c>
      <c r="C46" s="14" t="s">
        <v>119</v>
      </c>
      <c r="D46" s="19" t="s">
        <v>120</v>
      </c>
      <c r="E46" s="16" t="s">
        <v>17</v>
      </c>
      <c r="F46" s="16" t="s">
        <v>38</v>
      </c>
      <c r="G46" s="15" t="s">
        <v>121</v>
      </c>
      <c r="H46" s="16" t="s">
        <v>23</v>
      </c>
      <c r="I46" s="16" t="s">
        <v>23</v>
      </c>
      <c r="J46" s="16" t="s">
        <v>23</v>
      </c>
      <c r="K46" s="16" t="s">
        <v>23</v>
      </c>
      <c r="L46" s="16" t="s">
        <v>23</v>
      </c>
      <c r="M46" s="16" t="s">
        <v>23</v>
      </c>
      <c r="N46" s="16" t="s">
        <v>25</v>
      </c>
      <c r="O46" s="12">
        <f t="shared" si="0"/>
        <v>1</v>
      </c>
      <c r="P46" s="12">
        <f t="shared" si="1"/>
        <v>1</v>
      </c>
      <c r="Q46" s="12">
        <f t="shared" si="2"/>
        <v>1955</v>
      </c>
    </row>
    <row r="47" spans="1:17" ht="21.75" customHeight="1" x14ac:dyDescent="0.3">
      <c r="B47" s="4">
        <v>41</v>
      </c>
      <c r="C47" s="3" t="s">
        <v>122</v>
      </c>
      <c r="D47" s="20" t="s">
        <v>53</v>
      </c>
      <c r="E47" s="7" t="s">
        <v>18</v>
      </c>
      <c r="F47" s="7" t="s">
        <v>38</v>
      </c>
      <c r="G47" s="10" t="s">
        <v>123</v>
      </c>
      <c r="H47" s="7"/>
      <c r="I47" s="7"/>
      <c r="J47" s="7"/>
      <c r="K47" s="7" t="s">
        <v>23</v>
      </c>
      <c r="L47" s="7"/>
      <c r="M47" s="7" t="s">
        <v>23</v>
      </c>
      <c r="N47" s="7"/>
      <c r="O47" s="12">
        <f t="shared" si="0"/>
        <v>1</v>
      </c>
      <c r="P47" s="12">
        <f t="shared" si="1"/>
        <v>1</v>
      </c>
      <c r="Q47" s="12">
        <f t="shared" si="2"/>
        <v>1965</v>
      </c>
    </row>
    <row r="48" spans="1:17" ht="21.75" customHeight="1" x14ac:dyDescent="0.3">
      <c r="B48" s="4">
        <v>42</v>
      </c>
      <c r="C48" s="3" t="s">
        <v>124</v>
      </c>
      <c r="D48" s="20" t="s">
        <v>125</v>
      </c>
      <c r="E48" s="7" t="s">
        <v>19</v>
      </c>
      <c r="F48" s="7" t="s">
        <v>38</v>
      </c>
      <c r="G48" s="10" t="s">
        <v>126</v>
      </c>
      <c r="H48" s="7"/>
      <c r="I48" s="7"/>
      <c r="J48" s="7"/>
      <c r="K48" s="7" t="s">
        <v>23</v>
      </c>
      <c r="L48" s="7"/>
      <c r="M48" s="7" t="s">
        <v>23</v>
      </c>
      <c r="N48" s="7" t="s">
        <v>25</v>
      </c>
      <c r="O48" s="12">
        <f t="shared" si="0"/>
        <v>12</v>
      </c>
      <c r="P48" s="12">
        <f t="shared" si="1"/>
        <v>3</v>
      </c>
      <c r="Q48" s="12">
        <f t="shared" si="2"/>
        <v>2000</v>
      </c>
    </row>
    <row r="49" spans="1:17" s="12" customFormat="1" ht="21.75" customHeight="1" x14ac:dyDescent="0.3">
      <c r="A49" s="18">
        <v>12</v>
      </c>
      <c r="B49" s="13">
        <v>43</v>
      </c>
      <c r="C49" s="14" t="s">
        <v>127</v>
      </c>
      <c r="D49" s="19" t="s">
        <v>128</v>
      </c>
      <c r="E49" s="16" t="s">
        <v>17</v>
      </c>
      <c r="F49" s="16" t="s">
        <v>38</v>
      </c>
      <c r="G49" s="15" t="s">
        <v>129</v>
      </c>
      <c r="H49" s="16" t="s">
        <v>23</v>
      </c>
      <c r="I49" s="16" t="s">
        <v>23</v>
      </c>
      <c r="J49" s="16" t="s">
        <v>23</v>
      </c>
      <c r="K49" s="16" t="s">
        <v>23</v>
      </c>
      <c r="L49" s="16" t="s">
        <v>23</v>
      </c>
      <c r="M49" s="16" t="s">
        <v>23</v>
      </c>
      <c r="N49" s="16" t="s">
        <v>68</v>
      </c>
      <c r="O49" s="12">
        <f t="shared" si="0"/>
        <v>10</v>
      </c>
      <c r="P49" s="12">
        <f t="shared" si="1"/>
        <v>11</v>
      </c>
      <c r="Q49" s="12">
        <f t="shared" si="2"/>
        <v>1993</v>
      </c>
    </row>
    <row r="50" spans="1:17" ht="21.75" customHeight="1" x14ac:dyDescent="0.3">
      <c r="B50" s="4">
        <v>44</v>
      </c>
      <c r="C50" s="3" t="s">
        <v>130</v>
      </c>
      <c r="D50" s="20" t="s">
        <v>131</v>
      </c>
      <c r="E50" s="7" t="s">
        <v>18</v>
      </c>
      <c r="F50" s="7" t="s">
        <v>38</v>
      </c>
      <c r="G50" s="10" t="s">
        <v>132</v>
      </c>
      <c r="H50" s="7"/>
      <c r="I50" s="7"/>
      <c r="J50" s="7"/>
      <c r="K50" s="7" t="s">
        <v>23</v>
      </c>
      <c r="L50" s="7"/>
      <c r="M50" s="7" t="s">
        <v>23</v>
      </c>
      <c r="N50" s="7" t="s">
        <v>25</v>
      </c>
      <c r="O50" s="12">
        <f t="shared" si="0"/>
        <v>5</v>
      </c>
      <c r="P50" s="12">
        <f t="shared" si="1"/>
        <v>9</v>
      </c>
      <c r="Q50" s="12">
        <f t="shared" si="2"/>
        <v>1992</v>
      </c>
    </row>
    <row r="51" spans="1:17" ht="21.75" customHeight="1" x14ac:dyDescent="0.3">
      <c r="B51" s="4">
        <v>45</v>
      </c>
      <c r="C51" s="3" t="s">
        <v>133</v>
      </c>
      <c r="D51" s="20" t="s">
        <v>134</v>
      </c>
      <c r="E51" s="7" t="s">
        <v>19</v>
      </c>
      <c r="F51" s="7" t="s">
        <v>38</v>
      </c>
      <c r="G51" s="10"/>
      <c r="H51" s="7"/>
      <c r="I51" s="7"/>
      <c r="J51" s="7"/>
      <c r="K51" s="7"/>
      <c r="L51" s="7"/>
      <c r="M51" s="7"/>
      <c r="N51" s="7"/>
      <c r="O51" s="12">
        <f t="shared" si="0"/>
        <v>9</v>
      </c>
      <c r="P51" s="12">
        <f t="shared" si="1"/>
        <v>8</v>
      </c>
      <c r="Q51" s="12">
        <f t="shared" si="2"/>
        <v>2018</v>
      </c>
    </row>
    <row r="52" spans="1:17" s="12" customFormat="1" ht="21.75" customHeight="1" x14ac:dyDescent="0.3">
      <c r="A52" s="18">
        <v>13</v>
      </c>
      <c r="B52" s="13">
        <v>46</v>
      </c>
      <c r="C52" s="14" t="s">
        <v>135</v>
      </c>
      <c r="D52" s="19" t="s">
        <v>136</v>
      </c>
      <c r="E52" s="16" t="s">
        <v>17</v>
      </c>
      <c r="F52" s="16" t="s">
        <v>38</v>
      </c>
      <c r="G52" s="15" t="s">
        <v>137</v>
      </c>
      <c r="H52" s="16" t="s">
        <v>23</v>
      </c>
      <c r="I52" s="16" t="s">
        <v>23</v>
      </c>
      <c r="J52" s="16" t="s">
        <v>23</v>
      </c>
      <c r="K52" s="16" t="s">
        <v>23</v>
      </c>
      <c r="L52" s="16" t="s">
        <v>23</v>
      </c>
      <c r="M52" s="16" t="s">
        <v>23</v>
      </c>
      <c r="N52" s="16" t="s">
        <v>138</v>
      </c>
      <c r="O52" s="12">
        <f t="shared" si="0"/>
        <v>14</v>
      </c>
      <c r="P52" s="12">
        <f t="shared" si="1"/>
        <v>6</v>
      </c>
      <c r="Q52" s="12">
        <f t="shared" si="2"/>
        <v>1987</v>
      </c>
    </row>
    <row r="53" spans="1:17" ht="21.75" customHeight="1" x14ac:dyDescent="0.3">
      <c r="B53" s="4">
        <v>47</v>
      </c>
      <c r="C53" s="3" t="s">
        <v>139</v>
      </c>
      <c r="D53" s="20" t="s">
        <v>140</v>
      </c>
      <c r="E53" s="7" t="s">
        <v>18</v>
      </c>
      <c r="F53" s="7" t="s">
        <v>38</v>
      </c>
      <c r="G53" s="10" t="s">
        <v>141</v>
      </c>
      <c r="H53" s="7"/>
      <c r="I53" s="7"/>
      <c r="J53" s="7"/>
      <c r="K53" s="7" t="s">
        <v>23</v>
      </c>
      <c r="L53" s="7"/>
      <c r="M53" s="7" t="s">
        <v>23</v>
      </c>
      <c r="N53" s="7" t="s">
        <v>138</v>
      </c>
      <c r="O53" s="12">
        <f t="shared" si="0"/>
        <v>20</v>
      </c>
      <c r="P53" s="12">
        <f t="shared" si="1"/>
        <v>6</v>
      </c>
      <c r="Q53" s="12">
        <f t="shared" si="2"/>
        <v>1989</v>
      </c>
    </row>
    <row r="54" spans="1:17" ht="21.75" customHeight="1" x14ac:dyDescent="0.3">
      <c r="B54" s="4">
        <v>48</v>
      </c>
      <c r="C54" s="3" t="s">
        <v>142</v>
      </c>
      <c r="D54" s="20" t="s">
        <v>143</v>
      </c>
      <c r="E54" s="7" t="s">
        <v>19</v>
      </c>
      <c r="F54" s="7" t="s">
        <v>38</v>
      </c>
      <c r="G54" s="10"/>
      <c r="H54" s="7"/>
      <c r="I54" s="7"/>
      <c r="J54" s="7"/>
      <c r="K54" s="7"/>
      <c r="L54" s="7"/>
      <c r="M54" s="7"/>
      <c r="N54" s="7"/>
      <c r="O54" s="12">
        <f t="shared" si="0"/>
        <v>23</v>
      </c>
      <c r="P54" s="12">
        <f t="shared" si="1"/>
        <v>5</v>
      </c>
      <c r="Q54" s="12">
        <f t="shared" si="2"/>
        <v>2011</v>
      </c>
    </row>
    <row r="55" spans="1:17" ht="21.75" customHeight="1" x14ac:dyDescent="0.3">
      <c r="B55" s="4">
        <v>49</v>
      </c>
      <c r="C55" s="3" t="s">
        <v>144</v>
      </c>
      <c r="D55" s="20" t="s">
        <v>145</v>
      </c>
      <c r="E55" s="7" t="s">
        <v>19</v>
      </c>
      <c r="F55" s="7" t="s">
        <v>38</v>
      </c>
      <c r="G55" s="10"/>
      <c r="H55" s="7"/>
      <c r="I55" s="7"/>
      <c r="J55" s="7"/>
      <c r="K55" s="7"/>
      <c r="L55" s="7"/>
      <c r="M55" s="7"/>
      <c r="N55" s="7"/>
      <c r="O55" s="12">
        <f t="shared" si="0"/>
        <v>6</v>
      </c>
      <c r="P55" s="12">
        <f t="shared" si="1"/>
        <v>8</v>
      </c>
      <c r="Q55" s="12">
        <f t="shared" si="2"/>
        <v>2012</v>
      </c>
    </row>
    <row r="56" spans="1:17" s="12" customFormat="1" ht="21.75" customHeight="1" x14ac:dyDescent="0.3">
      <c r="A56" s="18">
        <v>14</v>
      </c>
      <c r="B56" s="13">
        <v>50</v>
      </c>
      <c r="C56" s="14" t="s">
        <v>146</v>
      </c>
      <c r="D56" s="19" t="s">
        <v>147</v>
      </c>
      <c r="E56" s="16" t="s">
        <v>17</v>
      </c>
      <c r="F56" s="16" t="s">
        <v>38</v>
      </c>
      <c r="G56" s="15" t="s">
        <v>148</v>
      </c>
      <c r="H56" s="16" t="s">
        <v>23</v>
      </c>
      <c r="I56" s="16" t="s">
        <v>23</v>
      </c>
      <c r="J56" s="16" t="s">
        <v>23</v>
      </c>
      <c r="K56" s="16" t="s">
        <v>23</v>
      </c>
      <c r="L56" s="16" t="s">
        <v>23</v>
      </c>
      <c r="M56" s="16" t="s">
        <v>23</v>
      </c>
      <c r="N56" s="16" t="s">
        <v>27</v>
      </c>
      <c r="Q56" s="12">
        <v>1961</v>
      </c>
    </row>
    <row r="57" spans="1:17" ht="21.75" customHeight="1" x14ac:dyDescent="0.3">
      <c r="B57" s="4">
        <v>51</v>
      </c>
      <c r="C57" s="3" t="s">
        <v>149</v>
      </c>
      <c r="D57" s="20" t="s">
        <v>150</v>
      </c>
      <c r="E57" s="7" t="s">
        <v>18</v>
      </c>
      <c r="F57" s="7" t="s">
        <v>38</v>
      </c>
      <c r="G57" s="10"/>
      <c r="H57" s="7"/>
      <c r="I57" s="7"/>
      <c r="J57" s="7"/>
      <c r="K57" s="7"/>
      <c r="L57" s="7"/>
      <c r="M57" s="7"/>
      <c r="N57" s="7"/>
      <c r="O57" s="12"/>
      <c r="P57" s="12"/>
      <c r="Q57" s="12">
        <v>1962</v>
      </c>
    </row>
    <row r="58" spans="1:17" s="12" customFormat="1" ht="21.75" customHeight="1" x14ac:dyDescent="0.3">
      <c r="A58" s="18">
        <v>15</v>
      </c>
      <c r="B58" s="13">
        <v>52</v>
      </c>
      <c r="C58" s="14" t="s">
        <v>151</v>
      </c>
      <c r="D58" s="19" t="s">
        <v>152</v>
      </c>
      <c r="E58" s="16" t="s">
        <v>17</v>
      </c>
      <c r="F58" s="16" t="s">
        <v>38</v>
      </c>
      <c r="G58" s="15" t="s">
        <v>153</v>
      </c>
      <c r="H58" s="16" t="s">
        <v>23</v>
      </c>
      <c r="I58" s="16" t="s">
        <v>23</v>
      </c>
      <c r="J58" s="16" t="s">
        <v>23</v>
      </c>
      <c r="K58" s="16" t="s">
        <v>23</v>
      </c>
      <c r="L58" s="16"/>
      <c r="M58" s="16"/>
      <c r="N58" s="16"/>
      <c r="O58" s="12">
        <f t="shared" si="0"/>
        <v>1</v>
      </c>
      <c r="P58" s="12">
        <f t="shared" si="1"/>
        <v>1</v>
      </c>
      <c r="Q58" s="12">
        <f t="shared" si="2"/>
        <v>1966</v>
      </c>
    </row>
    <row r="59" spans="1:17" ht="21.75" customHeight="1" x14ac:dyDescent="0.3">
      <c r="B59" s="4">
        <v>53</v>
      </c>
      <c r="C59" s="3" t="s">
        <v>154</v>
      </c>
      <c r="D59" s="20" t="s">
        <v>155</v>
      </c>
      <c r="E59" s="7" t="s">
        <v>19</v>
      </c>
      <c r="F59" s="7" t="s">
        <v>38</v>
      </c>
      <c r="G59" s="10" t="s">
        <v>156</v>
      </c>
      <c r="H59" s="7"/>
      <c r="I59" s="7"/>
      <c r="J59" s="7"/>
      <c r="K59" s="7" t="s">
        <v>23</v>
      </c>
      <c r="L59" s="7"/>
      <c r="M59" s="7" t="s">
        <v>23</v>
      </c>
      <c r="N59" s="7" t="s">
        <v>26</v>
      </c>
      <c r="O59" s="12">
        <f t="shared" si="0"/>
        <v>1</v>
      </c>
      <c r="P59" s="12">
        <f t="shared" si="1"/>
        <v>1</v>
      </c>
      <c r="Q59" s="12">
        <f t="shared" si="2"/>
        <v>1991</v>
      </c>
    </row>
    <row r="60" spans="1:17" ht="21.75" customHeight="1" x14ac:dyDescent="0.3">
      <c r="B60" s="4">
        <v>54</v>
      </c>
      <c r="C60" s="3" t="s">
        <v>157</v>
      </c>
      <c r="D60" s="20" t="s">
        <v>158</v>
      </c>
      <c r="E60" s="7" t="s">
        <v>22</v>
      </c>
      <c r="F60" s="7" t="s">
        <v>38</v>
      </c>
      <c r="G60" s="10"/>
      <c r="H60" s="7"/>
      <c r="I60" s="7"/>
      <c r="J60" s="7"/>
      <c r="K60" s="7"/>
      <c r="L60" s="7"/>
      <c r="M60" s="7"/>
      <c r="N60" s="7"/>
      <c r="O60" s="12">
        <f t="shared" si="0"/>
        <v>9</v>
      </c>
      <c r="P60" s="12">
        <f t="shared" si="1"/>
        <v>11</v>
      </c>
      <c r="Q60" s="12">
        <f t="shared" si="2"/>
        <v>2019</v>
      </c>
    </row>
    <row r="61" spans="1:17" s="12" customFormat="1" ht="21.75" customHeight="1" x14ac:dyDescent="0.3">
      <c r="A61" s="18">
        <v>16</v>
      </c>
      <c r="B61" s="13">
        <v>55</v>
      </c>
      <c r="C61" s="14" t="s">
        <v>159</v>
      </c>
      <c r="D61" s="19" t="s">
        <v>160</v>
      </c>
      <c r="E61" s="16" t="s">
        <v>17</v>
      </c>
      <c r="F61" s="16" t="s">
        <v>38</v>
      </c>
      <c r="G61" s="15" t="s">
        <v>161</v>
      </c>
      <c r="H61" s="16" t="s">
        <v>23</v>
      </c>
      <c r="I61" s="16" t="s">
        <v>23</v>
      </c>
      <c r="J61" s="16" t="s">
        <v>23</v>
      </c>
      <c r="K61" s="16" t="s">
        <v>23</v>
      </c>
      <c r="L61" s="16" t="s">
        <v>23</v>
      </c>
      <c r="M61" s="16" t="s">
        <v>23</v>
      </c>
      <c r="N61" s="16" t="s">
        <v>24</v>
      </c>
      <c r="O61" s="12">
        <f t="shared" si="0"/>
        <v>20</v>
      </c>
      <c r="P61" s="12">
        <f t="shared" si="1"/>
        <v>8</v>
      </c>
      <c r="Q61" s="12">
        <f t="shared" si="2"/>
        <v>1989</v>
      </c>
    </row>
    <row r="62" spans="1:17" ht="21.75" customHeight="1" x14ac:dyDescent="0.3">
      <c r="B62" s="4">
        <v>56</v>
      </c>
      <c r="C62" s="3" t="s">
        <v>162</v>
      </c>
      <c r="D62" s="20" t="s">
        <v>163</v>
      </c>
      <c r="E62" s="7" t="s">
        <v>18</v>
      </c>
      <c r="F62" s="7" t="s">
        <v>38</v>
      </c>
      <c r="G62" s="10" t="s">
        <v>164</v>
      </c>
      <c r="H62" s="7"/>
      <c r="I62" s="7"/>
      <c r="J62" s="7"/>
      <c r="K62" s="7" t="s">
        <v>23</v>
      </c>
      <c r="L62" s="7"/>
      <c r="M62" s="7" t="s">
        <v>23</v>
      </c>
      <c r="N62" s="7" t="s">
        <v>27</v>
      </c>
      <c r="O62" s="12">
        <f t="shared" si="0"/>
        <v>1</v>
      </c>
      <c r="P62" s="12">
        <f t="shared" si="1"/>
        <v>6</v>
      </c>
      <c r="Q62" s="12">
        <f t="shared" si="2"/>
        <v>1989</v>
      </c>
    </row>
    <row r="63" spans="1:17" ht="21.75" customHeight="1" x14ac:dyDescent="0.3">
      <c r="B63" s="4">
        <v>57</v>
      </c>
      <c r="C63" s="3" t="s">
        <v>165</v>
      </c>
      <c r="D63" s="20" t="s">
        <v>166</v>
      </c>
      <c r="E63" s="7" t="s">
        <v>19</v>
      </c>
      <c r="F63" s="7" t="s">
        <v>38</v>
      </c>
      <c r="G63" s="10"/>
      <c r="H63" s="7"/>
      <c r="I63" s="7"/>
      <c r="J63" s="7"/>
      <c r="K63" s="7"/>
      <c r="L63" s="7"/>
      <c r="M63" s="7"/>
      <c r="N63" s="7"/>
      <c r="O63" s="12">
        <f t="shared" si="0"/>
        <v>2</v>
      </c>
      <c r="P63" s="12">
        <f t="shared" si="1"/>
        <v>1</v>
      </c>
      <c r="Q63" s="12">
        <f t="shared" si="2"/>
        <v>2013</v>
      </c>
    </row>
    <row r="64" spans="1:17" ht="21.75" customHeight="1" x14ac:dyDescent="0.3">
      <c r="B64" s="4">
        <v>58</v>
      </c>
      <c r="C64" s="3" t="s">
        <v>167</v>
      </c>
      <c r="D64" s="20" t="s">
        <v>168</v>
      </c>
      <c r="E64" s="7" t="s">
        <v>19</v>
      </c>
      <c r="F64" s="7" t="s">
        <v>38</v>
      </c>
      <c r="G64" s="10"/>
      <c r="H64" s="7"/>
      <c r="I64" s="7"/>
      <c r="J64" s="7"/>
      <c r="K64" s="7"/>
      <c r="L64" s="7"/>
      <c r="M64" s="7"/>
      <c r="N64" s="7"/>
      <c r="O64" s="12">
        <f t="shared" si="0"/>
        <v>29</v>
      </c>
      <c r="P64" s="12">
        <f t="shared" si="1"/>
        <v>8</v>
      </c>
      <c r="Q64" s="12">
        <f t="shared" si="2"/>
        <v>2018</v>
      </c>
    </row>
    <row r="65" spans="1:17" ht="21.75" customHeight="1" x14ac:dyDescent="0.3">
      <c r="B65" s="4">
        <v>59</v>
      </c>
      <c r="C65" s="3" t="s">
        <v>169</v>
      </c>
      <c r="D65" s="20" t="s">
        <v>170</v>
      </c>
      <c r="E65" s="7" t="s">
        <v>19</v>
      </c>
      <c r="F65" s="7" t="s">
        <v>38</v>
      </c>
      <c r="G65" s="10"/>
      <c r="H65" s="7"/>
      <c r="I65" s="7"/>
      <c r="J65" s="7"/>
      <c r="K65" s="7"/>
      <c r="L65" s="7"/>
      <c r="M65" s="7"/>
      <c r="N65" s="7"/>
      <c r="O65" s="12">
        <f t="shared" si="0"/>
        <v>23</v>
      </c>
      <c r="P65" s="12">
        <f t="shared" si="1"/>
        <v>3</v>
      </c>
      <c r="Q65" s="12">
        <f t="shared" si="2"/>
        <v>2020</v>
      </c>
    </row>
    <row r="66" spans="1:17" s="12" customFormat="1" ht="21.75" customHeight="1" x14ac:dyDescent="0.3">
      <c r="A66" s="18">
        <v>17</v>
      </c>
      <c r="B66" s="13">
        <v>60</v>
      </c>
      <c r="C66" s="14" t="s">
        <v>171</v>
      </c>
      <c r="D66" s="19" t="s">
        <v>172</v>
      </c>
      <c r="E66" s="16" t="s">
        <v>17</v>
      </c>
      <c r="F66" s="16" t="s">
        <v>38</v>
      </c>
      <c r="G66" s="15" t="s">
        <v>173</v>
      </c>
      <c r="H66" s="16" t="s">
        <v>23</v>
      </c>
      <c r="I66" s="16" t="s">
        <v>23</v>
      </c>
      <c r="J66" s="16" t="s">
        <v>23</v>
      </c>
      <c r="K66" s="16" t="s">
        <v>23</v>
      </c>
      <c r="L66" s="16" t="s">
        <v>23</v>
      </c>
      <c r="M66" s="16" t="s">
        <v>23</v>
      </c>
      <c r="N66" s="16" t="s">
        <v>24</v>
      </c>
      <c r="O66" s="12">
        <f t="shared" si="0"/>
        <v>1</v>
      </c>
      <c r="P66" s="12">
        <f t="shared" si="1"/>
        <v>11</v>
      </c>
      <c r="Q66" s="12">
        <f t="shared" si="2"/>
        <v>1995</v>
      </c>
    </row>
    <row r="67" spans="1:17" ht="21.75" customHeight="1" x14ac:dyDescent="0.3">
      <c r="B67" s="4">
        <v>61</v>
      </c>
      <c r="C67" s="3" t="s">
        <v>174</v>
      </c>
      <c r="D67" s="20" t="s">
        <v>175</v>
      </c>
      <c r="E67" s="7" t="s">
        <v>18</v>
      </c>
      <c r="F67" s="7" t="s">
        <v>38</v>
      </c>
      <c r="G67" s="10" t="s">
        <v>173</v>
      </c>
      <c r="H67" s="7"/>
      <c r="I67" s="7"/>
      <c r="J67" s="7"/>
      <c r="K67" s="7" t="s">
        <v>23</v>
      </c>
      <c r="L67" s="7"/>
      <c r="M67" s="7" t="s">
        <v>23</v>
      </c>
      <c r="N67" s="7" t="s">
        <v>27</v>
      </c>
      <c r="O67" s="12">
        <f t="shared" si="0"/>
        <v>10</v>
      </c>
      <c r="P67" s="12">
        <f t="shared" si="1"/>
        <v>1</v>
      </c>
      <c r="Q67" s="12">
        <f t="shared" si="2"/>
        <v>1996</v>
      </c>
    </row>
    <row r="68" spans="1:17" ht="21.75" customHeight="1" x14ac:dyDescent="0.3">
      <c r="B68" s="4">
        <v>62</v>
      </c>
      <c r="C68" s="3" t="s">
        <v>176</v>
      </c>
      <c r="D68" s="20" t="s">
        <v>177</v>
      </c>
      <c r="E68" s="7" t="s">
        <v>19</v>
      </c>
      <c r="F68" s="7" t="s">
        <v>38</v>
      </c>
      <c r="G68" s="10"/>
      <c r="H68" s="7"/>
      <c r="I68" s="7"/>
      <c r="J68" s="7"/>
      <c r="K68" s="7"/>
      <c r="L68" s="7"/>
      <c r="M68" s="7"/>
      <c r="N68" s="7"/>
      <c r="O68" s="12">
        <f t="shared" si="0"/>
        <v>22</v>
      </c>
      <c r="P68" s="12">
        <f t="shared" si="1"/>
        <v>12</v>
      </c>
      <c r="Q68" s="12">
        <f t="shared" si="2"/>
        <v>2015</v>
      </c>
    </row>
    <row r="69" spans="1:17" ht="21.75" customHeight="1" x14ac:dyDescent="0.3">
      <c r="B69" s="4">
        <v>63</v>
      </c>
      <c r="C69" s="3" t="s">
        <v>178</v>
      </c>
      <c r="D69" s="20" t="s">
        <v>179</v>
      </c>
      <c r="E69" s="7" t="s">
        <v>19</v>
      </c>
      <c r="F69" s="7" t="s">
        <v>38</v>
      </c>
      <c r="G69" s="10"/>
      <c r="H69" s="7"/>
      <c r="I69" s="7"/>
      <c r="J69" s="7"/>
      <c r="K69" s="7"/>
      <c r="L69" s="7"/>
      <c r="M69" s="7"/>
      <c r="N69" s="7"/>
      <c r="O69" s="12">
        <f t="shared" si="0"/>
        <v>14</v>
      </c>
      <c r="P69" s="12">
        <f t="shared" si="1"/>
        <v>2</v>
      </c>
      <c r="Q69" s="12">
        <f t="shared" si="2"/>
        <v>2017</v>
      </c>
    </row>
    <row r="70" spans="1:17" s="12" customFormat="1" ht="21.75" customHeight="1" x14ac:dyDescent="0.3">
      <c r="A70" s="18">
        <v>18</v>
      </c>
      <c r="B70" s="13">
        <v>64</v>
      </c>
      <c r="C70" s="14" t="s">
        <v>180</v>
      </c>
      <c r="D70" s="19" t="s">
        <v>95</v>
      </c>
      <c r="E70" s="16" t="s">
        <v>17</v>
      </c>
      <c r="F70" s="16" t="s">
        <v>38</v>
      </c>
      <c r="G70" s="15" t="s">
        <v>181</v>
      </c>
      <c r="H70" s="16" t="s">
        <v>23</v>
      </c>
      <c r="I70" s="16" t="s">
        <v>23</v>
      </c>
      <c r="J70" s="16" t="s">
        <v>23</v>
      </c>
      <c r="K70" s="16" t="s">
        <v>23</v>
      </c>
      <c r="L70" s="16" t="s">
        <v>23</v>
      </c>
      <c r="M70" s="16" t="s">
        <v>23</v>
      </c>
      <c r="N70" s="16" t="s">
        <v>42</v>
      </c>
      <c r="O70" s="12">
        <f t="shared" si="0"/>
        <v>1</v>
      </c>
      <c r="P70" s="12">
        <f t="shared" si="1"/>
        <v>1</v>
      </c>
      <c r="Q70" s="12">
        <f t="shared" si="2"/>
        <v>1981</v>
      </c>
    </row>
    <row r="71" spans="1:17" ht="21.75" customHeight="1" x14ac:dyDescent="0.3">
      <c r="B71" s="4">
        <v>65</v>
      </c>
      <c r="C71" s="3" t="s">
        <v>182</v>
      </c>
      <c r="D71" s="20" t="s">
        <v>183</v>
      </c>
      <c r="E71" s="7" t="s">
        <v>18</v>
      </c>
      <c r="F71" s="7" t="s">
        <v>38</v>
      </c>
      <c r="G71" s="10" t="s">
        <v>184</v>
      </c>
      <c r="H71" s="7"/>
      <c r="I71" s="7"/>
      <c r="J71" s="7"/>
      <c r="K71" s="7" t="s">
        <v>23</v>
      </c>
      <c r="L71" s="7"/>
      <c r="M71" s="7" t="s">
        <v>23</v>
      </c>
      <c r="N71" s="7" t="s">
        <v>24</v>
      </c>
      <c r="O71" s="12">
        <f t="shared" si="0"/>
        <v>20</v>
      </c>
      <c r="P71" s="12">
        <f t="shared" si="1"/>
        <v>1</v>
      </c>
      <c r="Q71" s="12">
        <f t="shared" si="2"/>
        <v>1979</v>
      </c>
    </row>
    <row r="72" spans="1:17" ht="21.75" customHeight="1" x14ac:dyDescent="0.3">
      <c r="B72" s="4">
        <v>66</v>
      </c>
      <c r="C72" s="3" t="s">
        <v>185</v>
      </c>
      <c r="D72" s="20" t="s">
        <v>186</v>
      </c>
      <c r="E72" s="7" t="s">
        <v>19</v>
      </c>
      <c r="F72" s="7" t="s">
        <v>38</v>
      </c>
      <c r="G72" s="10" t="s">
        <v>187</v>
      </c>
      <c r="H72" s="7"/>
      <c r="I72" s="7"/>
      <c r="J72" s="7"/>
      <c r="K72" s="7" t="s">
        <v>23</v>
      </c>
      <c r="L72" s="7"/>
      <c r="M72" s="7" t="s">
        <v>23</v>
      </c>
      <c r="N72" s="7" t="s">
        <v>42</v>
      </c>
      <c r="O72" s="12">
        <f t="shared" ref="O72:O135" si="3">DAY(D72)</f>
        <v>16</v>
      </c>
      <c r="P72" s="12">
        <f t="shared" ref="P72:P135" si="4">MONTH(D72)</f>
        <v>10</v>
      </c>
      <c r="Q72" s="12">
        <f t="shared" ref="Q72:Q135" si="5">YEAR(D72)</f>
        <v>2006</v>
      </c>
    </row>
    <row r="73" spans="1:17" ht="21.75" customHeight="1" x14ac:dyDescent="0.3">
      <c r="B73" s="4">
        <v>67</v>
      </c>
      <c r="C73" s="3" t="s">
        <v>188</v>
      </c>
      <c r="D73" s="20" t="s">
        <v>189</v>
      </c>
      <c r="E73" s="7" t="s">
        <v>19</v>
      </c>
      <c r="F73" s="7" t="s">
        <v>38</v>
      </c>
      <c r="G73" s="10" t="s">
        <v>184</v>
      </c>
      <c r="H73" s="7"/>
      <c r="I73" s="7"/>
      <c r="J73" s="7"/>
      <c r="K73" s="7"/>
      <c r="L73" s="7"/>
      <c r="M73" s="7"/>
      <c r="N73" s="7"/>
      <c r="O73" s="12">
        <f t="shared" si="3"/>
        <v>30</v>
      </c>
      <c r="P73" s="12">
        <f t="shared" si="4"/>
        <v>5</v>
      </c>
      <c r="Q73" s="12">
        <f t="shared" si="5"/>
        <v>2009</v>
      </c>
    </row>
    <row r="74" spans="1:17" s="12" customFormat="1" ht="21.75" customHeight="1" x14ac:dyDescent="0.3">
      <c r="A74" s="18">
        <v>19</v>
      </c>
      <c r="B74" s="13">
        <v>68</v>
      </c>
      <c r="C74" s="14" t="s">
        <v>190</v>
      </c>
      <c r="D74" s="19" t="s">
        <v>191</v>
      </c>
      <c r="E74" s="16" t="s">
        <v>17</v>
      </c>
      <c r="F74" s="16" t="s">
        <v>38</v>
      </c>
      <c r="G74" s="15" t="s">
        <v>192</v>
      </c>
      <c r="H74" s="16" t="s">
        <v>23</v>
      </c>
      <c r="I74" s="16" t="s">
        <v>23</v>
      </c>
      <c r="J74" s="16" t="s">
        <v>23</v>
      </c>
      <c r="K74" s="16" t="s">
        <v>23</v>
      </c>
      <c r="L74" s="16" t="s">
        <v>23</v>
      </c>
      <c r="M74" s="16" t="s">
        <v>23</v>
      </c>
      <c r="N74" s="16"/>
      <c r="O74" s="12">
        <f t="shared" si="3"/>
        <v>30</v>
      </c>
      <c r="P74" s="12">
        <f t="shared" si="4"/>
        <v>6</v>
      </c>
      <c r="Q74" s="12">
        <f t="shared" si="5"/>
        <v>1986</v>
      </c>
    </row>
    <row r="75" spans="1:17" ht="21.75" customHeight="1" x14ac:dyDescent="0.3">
      <c r="B75" s="4">
        <v>69</v>
      </c>
      <c r="C75" s="3" t="s">
        <v>193</v>
      </c>
      <c r="D75" s="20" t="s">
        <v>194</v>
      </c>
      <c r="E75" s="7" t="s">
        <v>18</v>
      </c>
      <c r="F75" s="7" t="s">
        <v>38</v>
      </c>
      <c r="G75" s="10" t="s">
        <v>195</v>
      </c>
      <c r="H75" s="7"/>
      <c r="I75" s="7"/>
      <c r="J75" s="7"/>
      <c r="K75" s="7" t="s">
        <v>23</v>
      </c>
      <c r="L75" s="7"/>
      <c r="M75" s="7" t="s">
        <v>23</v>
      </c>
      <c r="N75" s="7" t="s">
        <v>29</v>
      </c>
      <c r="O75" s="12">
        <f t="shared" si="3"/>
        <v>10</v>
      </c>
      <c r="P75" s="12">
        <f t="shared" si="4"/>
        <v>10</v>
      </c>
      <c r="Q75" s="12">
        <f t="shared" si="5"/>
        <v>1987</v>
      </c>
    </row>
    <row r="76" spans="1:17" ht="21.75" customHeight="1" x14ac:dyDescent="0.3">
      <c r="B76" s="4">
        <v>70</v>
      </c>
      <c r="C76" s="3" t="s">
        <v>196</v>
      </c>
      <c r="D76" s="20"/>
      <c r="E76" s="7" t="s">
        <v>19</v>
      </c>
      <c r="F76" s="7" t="s">
        <v>38</v>
      </c>
      <c r="G76" s="10"/>
      <c r="H76" s="7"/>
      <c r="I76" s="7"/>
      <c r="J76" s="7"/>
      <c r="K76" s="7"/>
      <c r="L76" s="7"/>
      <c r="M76" s="7"/>
      <c r="N76" s="7" t="s">
        <v>27</v>
      </c>
      <c r="O76" s="12">
        <f t="shared" si="3"/>
        <v>0</v>
      </c>
      <c r="P76" s="12">
        <f t="shared" si="4"/>
        <v>1</v>
      </c>
      <c r="Q76" s="12">
        <f t="shared" si="5"/>
        <v>1900</v>
      </c>
    </row>
    <row r="77" spans="1:17" ht="21.75" customHeight="1" x14ac:dyDescent="0.3">
      <c r="B77" s="4">
        <v>71</v>
      </c>
      <c r="C77" s="3" t="s">
        <v>197</v>
      </c>
      <c r="D77" s="20" t="s">
        <v>198</v>
      </c>
      <c r="E77" s="7" t="s">
        <v>19</v>
      </c>
      <c r="F77" s="7" t="s">
        <v>38</v>
      </c>
      <c r="G77" s="10"/>
      <c r="H77" s="7"/>
      <c r="I77" s="7"/>
      <c r="J77" s="7"/>
      <c r="K77" s="7"/>
      <c r="L77" s="7"/>
      <c r="M77" s="7"/>
      <c r="N77" s="7"/>
      <c r="O77" s="12">
        <f t="shared" si="3"/>
        <v>20</v>
      </c>
      <c r="P77" s="12">
        <f t="shared" si="4"/>
        <v>8</v>
      </c>
      <c r="Q77" s="12">
        <f t="shared" si="5"/>
        <v>2017</v>
      </c>
    </row>
    <row r="78" spans="1:17" s="12" customFormat="1" ht="21.75" customHeight="1" x14ac:dyDescent="0.3">
      <c r="A78" s="18">
        <v>20</v>
      </c>
      <c r="B78" s="13">
        <v>72</v>
      </c>
      <c r="C78" s="14" t="s">
        <v>199</v>
      </c>
      <c r="D78" s="19" t="s">
        <v>200</v>
      </c>
      <c r="E78" s="16" t="s">
        <v>17</v>
      </c>
      <c r="F78" s="16" t="s">
        <v>38</v>
      </c>
      <c r="G78" s="15" t="s">
        <v>201</v>
      </c>
      <c r="H78" s="16" t="s">
        <v>23</v>
      </c>
      <c r="I78" s="16" t="s">
        <v>23</v>
      </c>
      <c r="J78" s="16" t="s">
        <v>23</v>
      </c>
      <c r="K78" s="16" t="s">
        <v>23</v>
      </c>
      <c r="L78" s="16" t="s">
        <v>23</v>
      </c>
      <c r="M78" s="16" t="s">
        <v>23</v>
      </c>
      <c r="N78" s="16" t="s">
        <v>42</v>
      </c>
      <c r="O78" s="12">
        <f t="shared" si="3"/>
        <v>20</v>
      </c>
      <c r="P78" s="12">
        <f t="shared" si="4"/>
        <v>1</v>
      </c>
      <c r="Q78" s="12">
        <f t="shared" si="5"/>
        <v>1968</v>
      </c>
    </row>
    <row r="79" spans="1:17" ht="21.75" customHeight="1" x14ac:dyDescent="0.3">
      <c r="B79" s="4">
        <v>73</v>
      </c>
      <c r="C79" s="3" t="s">
        <v>202</v>
      </c>
      <c r="D79" s="20" t="s">
        <v>203</v>
      </c>
      <c r="E79" s="7" t="s">
        <v>19</v>
      </c>
      <c r="F79" s="7" t="s">
        <v>38</v>
      </c>
      <c r="G79" s="10" t="s">
        <v>204</v>
      </c>
      <c r="H79" s="7"/>
      <c r="I79" s="7"/>
      <c r="J79" s="7"/>
      <c r="K79" s="7" t="s">
        <v>23</v>
      </c>
      <c r="L79" s="7"/>
      <c r="M79" s="7" t="s">
        <v>23</v>
      </c>
      <c r="N79" s="7" t="s">
        <v>42</v>
      </c>
      <c r="O79" s="12">
        <f t="shared" si="3"/>
        <v>27</v>
      </c>
      <c r="P79" s="12">
        <f t="shared" si="4"/>
        <v>6</v>
      </c>
      <c r="Q79" s="12">
        <f t="shared" si="5"/>
        <v>2003</v>
      </c>
    </row>
    <row r="80" spans="1:17" s="12" customFormat="1" ht="21.75" customHeight="1" x14ac:dyDescent="0.3">
      <c r="A80" s="18">
        <v>21</v>
      </c>
      <c r="B80" s="4">
        <v>74</v>
      </c>
      <c r="C80" s="14" t="s">
        <v>205</v>
      </c>
      <c r="D80" s="19" t="s">
        <v>206</v>
      </c>
      <c r="E80" s="16" t="s">
        <v>17</v>
      </c>
      <c r="F80" s="16" t="s">
        <v>38</v>
      </c>
      <c r="G80" s="15" t="s">
        <v>207</v>
      </c>
      <c r="H80" s="16" t="s">
        <v>23</v>
      </c>
      <c r="I80" s="16" t="s">
        <v>23</v>
      </c>
      <c r="J80" s="16" t="s">
        <v>23</v>
      </c>
      <c r="K80" s="16" t="s">
        <v>23</v>
      </c>
      <c r="L80" s="16" t="s">
        <v>23</v>
      </c>
      <c r="M80" s="16" t="s">
        <v>23</v>
      </c>
      <c r="N80" s="16" t="s">
        <v>27</v>
      </c>
      <c r="O80" s="12">
        <f t="shared" si="3"/>
        <v>1</v>
      </c>
      <c r="P80" s="12">
        <f t="shared" si="4"/>
        <v>1</v>
      </c>
      <c r="Q80" s="12">
        <f t="shared" si="5"/>
        <v>1980</v>
      </c>
    </row>
    <row r="81" spans="1:17" ht="21.75" customHeight="1" x14ac:dyDescent="0.3">
      <c r="B81" s="13">
        <v>75</v>
      </c>
      <c r="C81" s="3" t="s">
        <v>208</v>
      </c>
      <c r="D81" s="20" t="s">
        <v>209</v>
      </c>
      <c r="E81" s="7" t="s">
        <v>19</v>
      </c>
      <c r="F81" s="7" t="s">
        <v>38</v>
      </c>
      <c r="G81" s="10"/>
      <c r="H81" s="7"/>
      <c r="I81" s="7"/>
      <c r="J81" s="7"/>
      <c r="K81" s="7"/>
      <c r="L81" s="7"/>
      <c r="M81" s="7"/>
      <c r="N81" s="7"/>
      <c r="O81" s="12"/>
      <c r="P81" s="12"/>
      <c r="Q81" s="12">
        <v>2004</v>
      </c>
    </row>
    <row r="82" spans="1:17" s="12" customFormat="1" ht="21.75" customHeight="1" x14ac:dyDescent="0.3">
      <c r="A82" s="18">
        <v>22</v>
      </c>
      <c r="B82" s="13">
        <v>76</v>
      </c>
      <c r="C82" s="14" t="s">
        <v>210</v>
      </c>
      <c r="D82" s="19" t="s">
        <v>206</v>
      </c>
      <c r="E82" s="16" t="s">
        <v>17</v>
      </c>
      <c r="F82" s="16" t="s">
        <v>38</v>
      </c>
      <c r="G82" s="15" t="s">
        <v>211</v>
      </c>
      <c r="H82" s="16" t="s">
        <v>23</v>
      </c>
      <c r="I82" s="16" t="s">
        <v>23</v>
      </c>
      <c r="J82" s="16" t="s">
        <v>23</v>
      </c>
      <c r="K82" s="16" t="s">
        <v>23</v>
      </c>
      <c r="L82" s="16" t="s">
        <v>23</v>
      </c>
      <c r="M82" s="16" t="s">
        <v>23</v>
      </c>
      <c r="N82" s="16" t="s">
        <v>212</v>
      </c>
      <c r="O82" s="12">
        <f t="shared" si="3"/>
        <v>1</v>
      </c>
      <c r="P82" s="12">
        <f t="shared" si="4"/>
        <v>1</v>
      </c>
      <c r="Q82" s="12">
        <f t="shared" si="5"/>
        <v>1980</v>
      </c>
    </row>
    <row r="83" spans="1:17" ht="21.75" customHeight="1" x14ac:dyDescent="0.3">
      <c r="B83" s="4">
        <v>77</v>
      </c>
      <c r="C83" s="3" t="s">
        <v>213</v>
      </c>
      <c r="D83" s="20" t="s">
        <v>214</v>
      </c>
      <c r="E83" s="7" t="s">
        <v>18</v>
      </c>
      <c r="F83" s="7" t="s">
        <v>38</v>
      </c>
      <c r="G83" s="10" t="s">
        <v>215</v>
      </c>
      <c r="H83" s="7"/>
      <c r="I83" s="7"/>
      <c r="J83" s="7"/>
      <c r="K83" s="7" t="s">
        <v>23</v>
      </c>
      <c r="L83" s="7"/>
      <c r="M83" s="7" t="s">
        <v>23</v>
      </c>
      <c r="N83" s="7" t="s">
        <v>29</v>
      </c>
      <c r="O83" s="12">
        <f t="shared" si="3"/>
        <v>3</v>
      </c>
      <c r="P83" s="12">
        <f t="shared" si="4"/>
        <v>1</v>
      </c>
      <c r="Q83" s="12">
        <f t="shared" si="5"/>
        <v>1982</v>
      </c>
    </row>
    <row r="84" spans="1:17" ht="21.75" customHeight="1" x14ac:dyDescent="0.3">
      <c r="B84" s="4">
        <v>78</v>
      </c>
      <c r="C84" s="3" t="s">
        <v>216</v>
      </c>
      <c r="D84" s="20" t="s">
        <v>217</v>
      </c>
      <c r="E84" s="7" t="s">
        <v>19</v>
      </c>
      <c r="F84" s="7" t="s">
        <v>38</v>
      </c>
      <c r="G84" s="10"/>
      <c r="H84" s="7"/>
      <c r="I84" s="7"/>
      <c r="J84" s="7"/>
      <c r="K84" s="7"/>
      <c r="L84" s="7"/>
      <c r="M84" s="7"/>
      <c r="N84" s="7"/>
      <c r="O84" s="12">
        <f t="shared" si="3"/>
        <v>7</v>
      </c>
      <c r="P84" s="12">
        <f t="shared" si="4"/>
        <v>5</v>
      </c>
      <c r="Q84" s="12">
        <f t="shared" si="5"/>
        <v>2011</v>
      </c>
    </row>
    <row r="85" spans="1:17" ht="21.75" customHeight="1" x14ac:dyDescent="0.3">
      <c r="B85" s="4">
        <v>79</v>
      </c>
      <c r="C85" s="3" t="s">
        <v>218</v>
      </c>
      <c r="D85" s="20" t="s">
        <v>219</v>
      </c>
      <c r="E85" s="7" t="s">
        <v>19</v>
      </c>
      <c r="F85" s="7" t="s">
        <v>38</v>
      </c>
      <c r="G85" s="10"/>
      <c r="H85" s="7"/>
      <c r="I85" s="7"/>
      <c r="J85" s="7"/>
      <c r="K85" s="7"/>
      <c r="L85" s="7"/>
      <c r="M85" s="7"/>
      <c r="N85" s="7"/>
      <c r="O85" s="12">
        <f t="shared" si="3"/>
        <v>21</v>
      </c>
      <c r="P85" s="12">
        <f t="shared" si="4"/>
        <v>6</v>
      </c>
      <c r="Q85" s="12">
        <f t="shared" si="5"/>
        <v>2013</v>
      </c>
    </row>
    <row r="86" spans="1:17" s="12" customFormat="1" ht="21.75" customHeight="1" x14ac:dyDescent="0.3">
      <c r="A86" s="18">
        <v>23</v>
      </c>
      <c r="B86" s="13">
        <v>80</v>
      </c>
      <c r="C86" s="14" t="s">
        <v>220</v>
      </c>
      <c r="D86" s="19" t="s">
        <v>221</v>
      </c>
      <c r="E86" s="16" t="s">
        <v>17</v>
      </c>
      <c r="F86" s="16" t="s">
        <v>38</v>
      </c>
      <c r="G86" s="15" t="s">
        <v>222</v>
      </c>
      <c r="H86" s="16" t="s">
        <v>23</v>
      </c>
      <c r="I86" s="16" t="s">
        <v>23</v>
      </c>
      <c r="J86" s="16" t="s">
        <v>23</v>
      </c>
      <c r="K86" s="16"/>
      <c r="L86" s="16"/>
      <c r="M86" s="16" t="s">
        <v>23</v>
      </c>
      <c r="N86" s="16" t="s">
        <v>24</v>
      </c>
      <c r="O86" s="12">
        <f t="shared" si="3"/>
        <v>1</v>
      </c>
      <c r="P86" s="12">
        <f t="shared" si="4"/>
        <v>1</v>
      </c>
      <c r="Q86" s="12">
        <f t="shared" si="5"/>
        <v>1954</v>
      </c>
    </row>
    <row r="87" spans="1:17" ht="21.75" customHeight="1" x14ac:dyDescent="0.3">
      <c r="B87" s="4">
        <v>81</v>
      </c>
      <c r="C87" s="3" t="s">
        <v>223</v>
      </c>
      <c r="D87" s="20" t="s">
        <v>37</v>
      </c>
      <c r="E87" s="7" t="s">
        <v>18</v>
      </c>
      <c r="F87" s="7" t="s">
        <v>38</v>
      </c>
      <c r="G87" s="10" t="s">
        <v>215</v>
      </c>
      <c r="H87" s="7"/>
      <c r="I87" s="7"/>
      <c r="J87" s="7"/>
      <c r="K87" s="7"/>
      <c r="L87" s="7"/>
      <c r="M87" s="7"/>
      <c r="N87" s="7"/>
      <c r="O87" s="12">
        <f t="shared" si="3"/>
        <v>1</v>
      </c>
      <c r="P87" s="12">
        <f t="shared" si="4"/>
        <v>1</v>
      </c>
      <c r="Q87" s="12">
        <f t="shared" si="5"/>
        <v>1959</v>
      </c>
    </row>
    <row r="88" spans="1:17" ht="21.75" customHeight="1" x14ac:dyDescent="0.3">
      <c r="B88" s="4">
        <v>82</v>
      </c>
      <c r="C88" s="3" t="s">
        <v>224</v>
      </c>
      <c r="D88" s="20" t="s">
        <v>225</v>
      </c>
      <c r="E88" s="7" t="s">
        <v>19</v>
      </c>
      <c r="F88" s="7" t="s">
        <v>38</v>
      </c>
      <c r="G88" s="10"/>
      <c r="H88" s="7"/>
      <c r="I88" s="7"/>
      <c r="J88" s="7"/>
      <c r="K88" s="7" t="s">
        <v>23</v>
      </c>
      <c r="L88" s="7"/>
      <c r="M88" s="7" t="s">
        <v>23</v>
      </c>
      <c r="N88" s="7" t="s">
        <v>27</v>
      </c>
      <c r="O88" s="12"/>
      <c r="P88" s="12"/>
      <c r="Q88" s="12">
        <v>1981</v>
      </c>
    </row>
    <row r="89" spans="1:17" ht="21.75" customHeight="1" x14ac:dyDescent="0.3">
      <c r="B89" s="4">
        <v>83</v>
      </c>
      <c r="C89" s="3" t="s">
        <v>226</v>
      </c>
      <c r="D89" s="20" t="s">
        <v>227</v>
      </c>
      <c r="E89" s="7" t="s">
        <v>22</v>
      </c>
      <c r="F89" s="7" t="s">
        <v>38</v>
      </c>
      <c r="G89" s="10"/>
      <c r="H89" s="7"/>
      <c r="I89" s="7"/>
      <c r="J89" s="7"/>
      <c r="K89" s="7"/>
      <c r="L89" s="7"/>
      <c r="M89" s="7"/>
      <c r="N89" s="7"/>
      <c r="O89" s="12">
        <f t="shared" si="3"/>
        <v>15</v>
      </c>
      <c r="P89" s="12">
        <f t="shared" si="4"/>
        <v>8</v>
      </c>
      <c r="Q89" s="12">
        <f t="shared" si="5"/>
        <v>2000</v>
      </c>
    </row>
    <row r="90" spans="1:17" ht="21.75" customHeight="1" x14ac:dyDescent="0.3">
      <c r="B90" s="4">
        <v>84</v>
      </c>
      <c r="C90" s="3" t="s">
        <v>228</v>
      </c>
      <c r="D90" s="20" t="s">
        <v>229</v>
      </c>
      <c r="E90" s="7" t="s">
        <v>22</v>
      </c>
      <c r="F90" s="7" t="s">
        <v>38</v>
      </c>
      <c r="G90" s="10"/>
      <c r="H90" s="7"/>
      <c r="I90" s="7"/>
      <c r="J90" s="7"/>
      <c r="K90" s="7"/>
      <c r="L90" s="7"/>
      <c r="M90" s="7"/>
      <c r="N90" s="7"/>
      <c r="O90" s="12">
        <f t="shared" si="3"/>
        <v>26</v>
      </c>
      <c r="P90" s="12">
        <f t="shared" si="4"/>
        <v>9</v>
      </c>
      <c r="Q90" s="12">
        <f t="shared" si="5"/>
        <v>2001</v>
      </c>
    </row>
    <row r="91" spans="1:17" s="12" customFormat="1" ht="21.75" customHeight="1" x14ac:dyDescent="0.3">
      <c r="A91" s="18">
        <v>24</v>
      </c>
      <c r="B91" s="13">
        <v>85</v>
      </c>
      <c r="C91" s="14" t="s">
        <v>230</v>
      </c>
      <c r="D91" s="19" t="s">
        <v>231</v>
      </c>
      <c r="E91" s="16" t="s">
        <v>17</v>
      </c>
      <c r="F91" s="16" t="s">
        <v>38</v>
      </c>
      <c r="G91" s="15" t="s">
        <v>232</v>
      </c>
      <c r="H91" s="16" t="s">
        <v>23</v>
      </c>
      <c r="I91" s="16" t="s">
        <v>23</v>
      </c>
      <c r="J91" s="16" t="s">
        <v>23</v>
      </c>
      <c r="K91" s="16" t="s">
        <v>23</v>
      </c>
      <c r="L91" s="16" t="s">
        <v>23</v>
      </c>
      <c r="M91" s="16" t="s">
        <v>23</v>
      </c>
      <c r="N91" s="16" t="s">
        <v>25</v>
      </c>
      <c r="O91" s="12">
        <f t="shared" si="3"/>
        <v>10</v>
      </c>
      <c r="P91" s="12">
        <f t="shared" si="4"/>
        <v>11</v>
      </c>
      <c r="Q91" s="12">
        <f t="shared" si="5"/>
        <v>1970</v>
      </c>
    </row>
    <row r="92" spans="1:17" ht="21.75" customHeight="1" x14ac:dyDescent="0.3">
      <c r="B92" s="4">
        <v>86</v>
      </c>
      <c r="C92" s="3" t="s">
        <v>233</v>
      </c>
      <c r="D92" s="20" t="s">
        <v>234</v>
      </c>
      <c r="E92" s="7" t="s">
        <v>18</v>
      </c>
      <c r="F92" s="7" t="s">
        <v>38</v>
      </c>
      <c r="G92" s="10" t="s">
        <v>235</v>
      </c>
      <c r="H92" s="7"/>
      <c r="I92" s="7"/>
      <c r="J92" s="7"/>
      <c r="K92" s="7" t="s">
        <v>23</v>
      </c>
      <c r="L92" s="7"/>
      <c r="M92" s="7" t="s">
        <v>23</v>
      </c>
      <c r="N92" s="7" t="s">
        <v>42</v>
      </c>
      <c r="O92" s="12">
        <f t="shared" si="3"/>
        <v>3</v>
      </c>
      <c r="P92" s="12">
        <f t="shared" si="4"/>
        <v>2</v>
      </c>
      <c r="Q92" s="12">
        <f t="shared" si="5"/>
        <v>1967</v>
      </c>
    </row>
    <row r="93" spans="1:17" ht="21.75" customHeight="1" x14ac:dyDescent="0.3">
      <c r="B93" s="4">
        <v>87</v>
      </c>
      <c r="C93" s="3" t="s">
        <v>236</v>
      </c>
      <c r="D93" s="20" t="s">
        <v>237</v>
      </c>
      <c r="E93" s="7" t="s">
        <v>19</v>
      </c>
      <c r="F93" s="7" t="s">
        <v>38</v>
      </c>
      <c r="G93" s="10" t="s">
        <v>238</v>
      </c>
      <c r="H93" s="7"/>
      <c r="I93" s="7"/>
      <c r="J93" s="7"/>
      <c r="K93" s="7" t="s">
        <v>23</v>
      </c>
      <c r="L93" s="7"/>
      <c r="M93" s="7" t="s">
        <v>23</v>
      </c>
      <c r="N93" s="7" t="s">
        <v>42</v>
      </c>
      <c r="O93" s="12">
        <f t="shared" si="3"/>
        <v>3</v>
      </c>
      <c r="P93" s="12">
        <f t="shared" si="4"/>
        <v>3</v>
      </c>
      <c r="Q93" s="12">
        <f t="shared" si="5"/>
        <v>1996</v>
      </c>
    </row>
    <row r="94" spans="1:17" ht="21.75" customHeight="1" x14ac:dyDescent="0.3">
      <c r="B94" s="4">
        <v>88</v>
      </c>
      <c r="C94" s="3" t="s">
        <v>239</v>
      </c>
      <c r="D94" s="20" t="s">
        <v>240</v>
      </c>
      <c r="E94" s="7" t="s">
        <v>19</v>
      </c>
      <c r="F94" s="7" t="s">
        <v>38</v>
      </c>
      <c r="G94" s="10" t="s">
        <v>241</v>
      </c>
      <c r="H94" s="7"/>
      <c r="I94" s="7"/>
      <c r="J94" s="7"/>
      <c r="K94" s="7" t="s">
        <v>23</v>
      </c>
      <c r="L94" s="7"/>
      <c r="M94" s="7" t="s">
        <v>23</v>
      </c>
      <c r="N94" s="7" t="s">
        <v>25</v>
      </c>
      <c r="O94" s="12">
        <f t="shared" si="3"/>
        <v>8</v>
      </c>
      <c r="P94" s="12">
        <f t="shared" si="4"/>
        <v>10</v>
      </c>
      <c r="Q94" s="12">
        <f t="shared" si="5"/>
        <v>2004</v>
      </c>
    </row>
    <row r="95" spans="1:17" s="12" customFormat="1" ht="21.75" customHeight="1" x14ac:dyDescent="0.3">
      <c r="A95" s="18">
        <v>25</v>
      </c>
      <c r="B95" s="13">
        <v>89</v>
      </c>
      <c r="C95" s="14" t="s">
        <v>242</v>
      </c>
      <c r="D95" s="19" t="s">
        <v>243</v>
      </c>
      <c r="E95" s="16" t="s">
        <v>17</v>
      </c>
      <c r="F95" s="16" t="s">
        <v>38</v>
      </c>
      <c r="G95" s="15" t="s">
        <v>244</v>
      </c>
      <c r="H95" s="16" t="s">
        <v>23</v>
      </c>
      <c r="I95" s="16" t="s">
        <v>23</v>
      </c>
      <c r="J95" s="16" t="s">
        <v>23</v>
      </c>
      <c r="K95" s="16"/>
      <c r="L95" s="16" t="s">
        <v>23</v>
      </c>
      <c r="M95" s="16" t="s">
        <v>23</v>
      </c>
      <c r="N95" s="16" t="s">
        <v>245</v>
      </c>
      <c r="Q95" s="12">
        <v>1949</v>
      </c>
    </row>
    <row r="96" spans="1:17" ht="21.75" customHeight="1" x14ac:dyDescent="0.3">
      <c r="B96" s="4">
        <v>90</v>
      </c>
      <c r="C96" s="3" t="s">
        <v>246</v>
      </c>
      <c r="D96" s="20" t="s">
        <v>247</v>
      </c>
      <c r="E96" s="7" t="s">
        <v>18</v>
      </c>
      <c r="F96" s="7" t="s">
        <v>38</v>
      </c>
      <c r="G96" s="10" t="s">
        <v>248</v>
      </c>
      <c r="H96" s="7"/>
      <c r="I96" s="7"/>
      <c r="J96" s="7"/>
      <c r="K96" s="7" t="s">
        <v>23</v>
      </c>
      <c r="L96" s="7"/>
      <c r="M96" s="7" t="s">
        <v>23</v>
      </c>
      <c r="N96" s="7" t="s">
        <v>24</v>
      </c>
      <c r="O96" s="12">
        <f t="shared" si="3"/>
        <v>27</v>
      </c>
      <c r="P96" s="12">
        <f t="shared" si="4"/>
        <v>7</v>
      </c>
      <c r="Q96" s="12">
        <f t="shared" si="5"/>
        <v>1992</v>
      </c>
    </row>
    <row r="97" spans="1:26" ht="21.75" customHeight="1" x14ac:dyDescent="0.3">
      <c r="B97" s="4">
        <v>91</v>
      </c>
      <c r="C97" s="3" t="s">
        <v>249</v>
      </c>
      <c r="D97" s="20" t="s">
        <v>250</v>
      </c>
      <c r="E97" s="7" t="s">
        <v>19</v>
      </c>
      <c r="F97" s="7" t="s">
        <v>38</v>
      </c>
      <c r="G97" s="10"/>
      <c r="H97" s="7"/>
      <c r="I97" s="7"/>
      <c r="J97" s="7"/>
      <c r="K97" s="7"/>
      <c r="L97" s="7"/>
      <c r="M97" s="7"/>
      <c r="N97" s="7"/>
      <c r="O97" s="12">
        <f t="shared" si="3"/>
        <v>18</v>
      </c>
      <c r="P97" s="12">
        <f t="shared" si="4"/>
        <v>11</v>
      </c>
      <c r="Q97" s="12">
        <f t="shared" si="5"/>
        <v>2015</v>
      </c>
    </row>
    <row r="98" spans="1:26" ht="21.75" customHeight="1" x14ac:dyDescent="0.3">
      <c r="B98" s="4">
        <v>92</v>
      </c>
      <c r="C98" s="3" t="s">
        <v>251</v>
      </c>
      <c r="D98" s="20" t="s">
        <v>252</v>
      </c>
      <c r="E98" s="7" t="s">
        <v>19</v>
      </c>
      <c r="F98" s="7" t="s">
        <v>38</v>
      </c>
      <c r="G98" s="10"/>
      <c r="H98" s="7"/>
      <c r="I98" s="7"/>
      <c r="J98" s="7"/>
      <c r="K98" s="7"/>
      <c r="L98" s="7"/>
      <c r="M98" s="7"/>
      <c r="N98" s="7"/>
      <c r="O98" s="12">
        <f t="shared" si="3"/>
        <v>21</v>
      </c>
      <c r="P98" s="12">
        <f t="shared" si="4"/>
        <v>3</v>
      </c>
      <c r="Q98" s="12">
        <f t="shared" si="5"/>
        <v>2018</v>
      </c>
    </row>
    <row r="99" spans="1:26" s="12" customFormat="1" ht="21.75" customHeight="1" x14ac:dyDescent="0.3">
      <c r="A99" s="18">
        <v>26</v>
      </c>
      <c r="B99" s="13">
        <v>93</v>
      </c>
      <c r="C99" s="14" t="s">
        <v>253</v>
      </c>
      <c r="D99" s="19" t="s">
        <v>254</v>
      </c>
      <c r="E99" s="16" t="s">
        <v>17</v>
      </c>
      <c r="F99" s="16" t="s">
        <v>38</v>
      </c>
      <c r="G99" s="15" t="s">
        <v>255</v>
      </c>
      <c r="H99" s="16" t="s">
        <v>23</v>
      </c>
      <c r="I99" s="16" t="s">
        <v>23</v>
      </c>
      <c r="J99" s="16" t="s">
        <v>23</v>
      </c>
      <c r="K99" s="16" t="s">
        <v>23</v>
      </c>
      <c r="L99" s="16" t="s">
        <v>23</v>
      </c>
      <c r="M99" s="16" t="s">
        <v>23</v>
      </c>
      <c r="N99" s="16" t="s">
        <v>24</v>
      </c>
      <c r="Q99" s="12">
        <v>1983</v>
      </c>
      <c r="R99" s="16"/>
      <c r="S99" s="15"/>
      <c r="T99" s="16"/>
      <c r="U99" s="16"/>
      <c r="V99" s="16"/>
      <c r="W99" s="16"/>
      <c r="X99" s="16"/>
      <c r="Y99" s="16"/>
      <c r="Z99" s="16"/>
    </row>
    <row r="100" spans="1:26" ht="21.75" customHeight="1" x14ac:dyDescent="0.3">
      <c r="B100" s="4">
        <v>94</v>
      </c>
      <c r="C100" s="3" t="s">
        <v>79</v>
      </c>
      <c r="D100" s="20" t="s">
        <v>256</v>
      </c>
      <c r="E100" s="7" t="s">
        <v>18</v>
      </c>
      <c r="F100" s="7" t="s">
        <v>38</v>
      </c>
      <c r="G100" s="10" t="s">
        <v>257</v>
      </c>
      <c r="H100" s="7"/>
      <c r="I100" s="7"/>
      <c r="J100" s="7"/>
      <c r="K100" s="7" t="s">
        <v>23</v>
      </c>
      <c r="L100" s="7"/>
      <c r="M100" s="7" t="s">
        <v>23</v>
      </c>
      <c r="N100" s="7" t="s">
        <v>42</v>
      </c>
      <c r="O100" s="12"/>
      <c r="P100" s="12"/>
      <c r="Q100" s="12">
        <v>1989</v>
      </c>
      <c r="R100" s="7"/>
      <c r="S100" s="10"/>
      <c r="T100" s="7"/>
      <c r="U100" s="7"/>
      <c r="V100" s="7"/>
      <c r="W100" s="7"/>
      <c r="X100" s="7"/>
      <c r="Y100" s="7"/>
      <c r="Z100" s="7"/>
    </row>
    <row r="101" spans="1:26" ht="21.75" customHeight="1" x14ac:dyDescent="0.3">
      <c r="B101" s="4">
        <v>95</v>
      </c>
      <c r="C101" s="3" t="s">
        <v>258</v>
      </c>
      <c r="D101" s="20" t="s">
        <v>259</v>
      </c>
      <c r="E101" s="7" t="s">
        <v>19</v>
      </c>
      <c r="F101" s="7" t="s">
        <v>38</v>
      </c>
      <c r="G101" s="10"/>
      <c r="H101" s="7"/>
      <c r="I101" s="7"/>
      <c r="J101" s="7"/>
      <c r="K101" s="7"/>
      <c r="L101" s="7"/>
      <c r="M101" s="7"/>
      <c r="N101" s="7"/>
      <c r="O101" s="12">
        <f t="shared" si="3"/>
        <v>21</v>
      </c>
      <c r="P101" s="12">
        <f t="shared" si="4"/>
        <v>1</v>
      </c>
      <c r="Q101" s="12">
        <f t="shared" si="5"/>
        <v>2016</v>
      </c>
      <c r="R101" s="7"/>
      <c r="S101" s="10"/>
      <c r="T101" s="7"/>
      <c r="U101" s="7"/>
      <c r="V101" s="7"/>
      <c r="W101" s="7"/>
      <c r="X101" s="7"/>
      <c r="Y101" s="7"/>
      <c r="Z101" s="7"/>
    </row>
    <row r="102" spans="1:26" ht="21.75" customHeight="1" x14ac:dyDescent="0.3">
      <c r="B102" s="4">
        <v>96</v>
      </c>
      <c r="C102" s="3" t="s">
        <v>260</v>
      </c>
      <c r="D102" s="20" t="s">
        <v>261</v>
      </c>
      <c r="E102" s="7" t="s">
        <v>19</v>
      </c>
      <c r="F102" s="7" t="s">
        <v>38</v>
      </c>
      <c r="G102" s="10"/>
      <c r="H102" s="7"/>
      <c r="I102" s="7"/>
      <c r="J102" s="7"/>
      <c r="K102" s="7"/>
      <c r="L102" s="7"/>
      <c r="M102" s="7"/>
      <c r="N102" s="7"/>
      <c r="O102" s="12">
        <f t="shared" si="3"/>
        <v>1</v>
      </c>
      <c r="P102" s="12">
        <f t="shared" si="4"/>
        <v>4</v>
      </c>
      <c r="Q102" s="12">
        <f t="shared" si="5"/>
        <v>2020</v>
      </c>
      <c r="R102" s="7"/>
      <c r="S102" s="10"/>
      <c r="T102" s="7"/>
      <c r="U102" s="7"/>
      <c r="V102" s="7"/>
      <c r="W102" s="7"/>
      <c r="X102" s="7"/>
      <c r="Y102" s="7"/>
      <c r="Z102" s="7"/>
    </row>
    <row r="103" spans="1:26" s="12" customFormat="1" ht="21.75" customHeight="1" x14ac:dyDescent="0.3">
      <c r="A103" s="18">
        <v>27</v>
      </c>
      <c r="B103" s="13">
        <v>97</v>
      </c>
      <c r="C103" s="14" t="s">
        <v>262</v>
      </c>
      <c r="D103" s="19" t="s">
        <v>53</v>
      </c>
      <c r="E103" s="16" t="s">
        <v>17</v>
      </c>
      <c r="F103" s="16" t="s">
        <v>38</v>
      </c>
      <c r="G103" s="15" t="s">
        <v>263</v>
      </c>
      <c r="H103" s="16" t="s">
        <v>23</v>
      </c>
      <c r="I103" s="16" t="s">
        <v>23</v>
      </c>
      <c r="J103" s="16"/>
      <c r="K103" s="16"/>
      <c r="L103" s="16"/>
      <c r="M103" s="16"/>
      <c r="N103" s="16"/>
      <c r="O103" s="12">
        <f t="shared" si="3"/>
        <v>1</v>
      </c>
      <c r="P103" s="12">
        <f t="shared" si="4"/>
        <v>1</v>
      </c>
      <c r="Q103" s="12">
        <f t="shared" si="5"/>
        <v>1965</v>
      </c>
    </row>
    <row r="104" spans="1:26" s="12" customFormat="1" ht="21.75" customHeight="1" x14ac:dyDescent="0.3">
      <c r="A104" s="18">
        <v>28</v>
      </c>
      <c r="B104" s="13">
        <v>98</v>
      </c>
      <c r="C104" s="14" t="s">
        <v>264</v>
      </c>
      <c r="D104" s="19" t="s">
        <v>265</v>
      </c>
      <c r="E104" s="16" t="s">
        <v>17</v>
      </c>
      <c r="F104" s="16" t="s">
        <v>38</v>
      </c>
      <c r="G104" s="15" t="s">
        <v>270</v>
      </c>
      <c r="H104" s="16" t="s">
        <v>23</v>
      </c>
      <c r="I104" s="16" t="s">
        <v>23</v>
      </c>
      <c r="J104" s="16"/>
      <c r="K104" s="16"/>
      <c r="L104" s="16"/>
      <c r="M104" s="16"/>
      <c r="N104" s="16"/>
      <c r="Q104" s="23" t="s">
        <v>265</v>
      </c>
    </row>
    <row r="105" spans="1:26" ht="21.75" customHeight="1" x14ac:dyDescent="0.3">
      <c r="B105" s="4">
        <v>99</v>
      </c>
      <c r="C105" s="3" t="s">
        <v>266</v>
      </c>
      <c r="D105" s="20" t="s">
        <v>267</v>
      </c>
      <c r="E105" s="7" t="s">
        <v>18</v>
      </c>
      <c r="F105" s="7" t="s">
        <v>38</v>
      </c>
      <c r="G105" s="10"/>
      <c r="H105" s="7"/>
      <c r="I105" s="7"/>
      <c r="J105" s="7"/>
      <c r="K105" s="7"/>
      <c r="L105" s="7"/>
      <c r="M105" s="7"/>
      <c r="N105" s="7"/>
      <c r="O105" s="12"/>
      <c r="P105" s="12"/>
      <c r="Q105" s="23" t="s">
        <v>267</v>
      </c>
    </row>
    <row r="106" spans="1:26" s="12" customFormat="1" ht="21.75" customHeight="1" x14ac:dyDescent="0.3">
      <c r="A106" s="18">
        <v>29</v>
      </c>
      <c r="B106" s="13">
        <v>100</v>
      </c>
      <c r="C106" s="14" t="s">
        <v>268</v>
      </c>
      <c r="D106" s="19" t="s">
        <v>269</v>
      </c>
      <c r="E106" s="16" t="s">
        <v>17</v>
      </c>
      <c r="F106" s="16" t="s">
        <v>38</v>
      </c>
      <c r="G106" s="15" t="s">
        <v>270</v>
      </c>
      <c r="H106" s="16" t="s">
        <v>23</v>
      </c>
      <c r="I106" s="16" t="s">
        <v>23</v>
      </c>
      <c r="J106" s="16" t="s">
        <v>23</v>
      </c>
      <c r="K106" s="16" t="s">
        <v>23</v>
      </c>
      <c r="L106" s="16" t="s">
        <v>23</v>
      </c>
      <c r="M106" s="16" t="s">
        <v>23</v>
      </c>
      <c r="N106" s="16"/>
      <c r="Q106" s="23" t="s">
        <v>269</v>
      </c>
    </row>
    <row r="107" spans="1:26" ht="21.75" customHeight="1" x14ac:dyDescent="0.3">
      <c r="B107" s="4">
        <v>101</v>
      </c>
      <c r="C107" s="3" t="s">
        <v>271</v>
      </c>
      <c r="D107" s="20" t="s">
        <v>272</v>
      </c>
      <c r="E107" s="7" t="s">
        <v>18</v>
      </c>
      <c r="F107" s="7" t="s">
        <v>38</v>
      </c>
      <c r="G107" s="10" t="s">
        <v>273</v>
      </c>
      <c r="H107" s="7"/>
      <c r="I107" s="7"/>
      <c r="J107" s="7"/>
      <c r="K107" s="7" t="s">
        <v>23</v>
      </c>
      <c r="L107" s="7"/>
      <c r="M107" s="7" t="s">
        <v>23</v>
      </c>
      <c r="N107" s="7"/>
      <c r="O107" s="12"/>
      <c r="P107" s="12"/>
      <c r="Q107" s="23" t="s">
        <v>272</v>
      </c>
    </row>
    <row r="108" spans="1:26" ht="21.75" customHeight="1" x14ac:dyDescent="0.3">
      <c r="B108" s="4">
        <v>102</v>
      </c>
      <c r="C108" s="3" t="s">
        <v>274</v>
      </c>
      <c r="D108" s="20" t="s">
        <v>275</v>
      </c>
      <c r="E108" s="7" t="s">
        <v>19</v>
      </c>
      <c r="F108" s="7" t="s">
        <v>38</v>
      </c>
      <c r="G108" s="10" t="s">
        <v>276</v>
      </c>
      <c r="H108" s="7"/>
      <c r="I108" s="7"/>
      <c r="J108" s="7"/>
      <c r="K108" s="7" t="s">
        <v>23</v>
      </c>
      <c r="L108" s="7"/>
      <c r="M108" s="7" t="s">
        <v>23</v>
      </c>
      <c r="N108" s="7" t="s">
        <v>138</v>
      </c>
      <c r="O108" s="12">
        <f t="shared" si="3"/>
        <v>15</v>
      </c>
      <c r="P108" s="12">
        <f t="shared" si="4"/>
        <v>7</v>
      </c>
      <c r="Q108" s="12">
        <f t="shared" si="5"/>
        <v>1999</v>
      </c>
    </row>
    <row r="109" spans="1:26" ht="21.75" customHeight="1" x14ac:dyDescent="0.3">
      <c r="B109" s="4">
        <v>103</v>
      </c>
      <c r="C109" s="3" t="s">
        <v>277</v>
      </c>
      <c r="D109" s="20" t="s">
        <v>278</v>
      </c>
      <c r="E109" s="7" t="s">
        <v>19</v>
      </c>
      <c r="F109" s="7" t="s">
        <v>38</v>
      </c>
      <c r="G109" s="10" t="s">
        <v>279</v>
      </c>
      <c r="H109" s="7"/>
      <c r="I109" s="7"/>
      <c r="J109" s="7"/>
      <c r="K109" s="7" t="s">
        <v>23</v>
      </c>
      <c r="L109" s="7"/>
      <c r="M109" s="7" t="s">
        <v>23</v>
      </c>
      <c r="N109" s="7" t="s">
        <v>138</v>
      </c>
      <c r="O109" s="12">
        <f t="shared" si="3"/>
        <v>2</v>
      </c>
      <c r="P109" s="12">
        <f t="shared" si="4"/>
        <v>9</v>
      </c>
      <c r="Q109" s="12">
        <f t="shared" si="5"/>
        <v>2003</v>
      </c>
    </row>
    <row r="110" spans="1:26" ht="21.75" customHeight="1" x14ac:dyDescent="0.3">
      <c r="B110" s="4">
        <v>104</v>
      </c>
      <c r="C110" s="3" t="s">
        <v>280</v>
      </c>
      <c r="D110" s="20" t="s">
        <v>281</v>
      </c>
      <c r="E110" s="7" t="s">
        <v>19</v>
      </c>
      <c r="F110" s="7" t="s">
        <v>38</v>
      </c>
      <c r="G110" s="10"/>
      <c r="H110" s="7"/>
      <c r="I110" s="7"/>
      <c r="J110" s="7"/>
      <c r="K110" s="7"/>
      <c r="L110" s="7"/>
      <c r="M110" s="7"/>
      <c r="N110" s="7"/>
      <c r="O110" s="12">
        <f t="shared" si="3"/>
        <v>29</v>
      </c>
      <c r="P110" s="12">
        <f t="shared" si="4"/>
        <v>11</v>
      </c>
      <c r="Q110" s="12">
        <f t="shared" si="5"/>
        <v>2011</v>
      </c>
    </row>
    <row r="111" spans="1:26" s="12" customFormat="1" ht="21.75" customHeight="1" x14ac:dyDescent="0.3">
      <c r="A111" s="18">
        <v>30</v>
      </c>
      <c r="B111" s="13">
        <v>105</v>
      </c>
      <c r="C111" s="14" t="s">
        <v>282</v>
      </c>
      <c r="D111" s="19" t="s">
        <v>283</v>
      </c>
      <c r="E111" s="16" t="s">
        <v>17</v>
      </c>
      <c r="F111" s="16" t="s">
        <v>38</v>
      </c>
      <c r="G111" s="15" t="s">
        <v>284</v>
      </c>
      <c r="H111" s="16" t="s">
        <v>23</v>
      </c>
      <c r="I111" s="16" t="s">
        <v>23</v>
      </c>
      <c r="J111" s="16" t="s">
        <v>23</v>
      </c>
      <c r="K111" s="16" t="s">
        <v>23</v>
      </c>
      <c r="L111" s="16" t="s">
        <v>23</v>
      </c>
      <c r="M111" s="16"/>
      <c r="N111" s="16" t="s">
        <v>24</v>
      </c>
      <c r="O111" s="12">
        <f t="shared" si="3"/>
        <v>31</v>
      </c>
      <c r="P111" s="12">
        <f t="shared" si="4"/>
        <v>10</v>
      </c>
      <c r="Q111" s="12">
        <f t="shared" si="5"/>
        <v>1972</v>
      </c>
    </row>
    <row r="112" spans="1:26" ht="21.75" customHeight="1" x14ac:dyDescent="0.3">
      <c r="B112" s="4">
        <v>106</v>
      </c>
      <c r="C112" s="3" t="s">
        <v>285</v>
      </c>
      <c r="D112" s="20" t="s">
        <v>286</v>
      </c>
      <c r="E112" s="7" t="s">
        <v>18</v>
      </c>
      <c r="F112" s="7" t="s">
        <v>38</v>
      </c>
      <c r="G112" s="10" t="s">
        <v>287</v>
      </c>
      <c r="H112" s="7"/>
      <c r="I112" s="7"/>
      <c r="J112" s="7"/>
      <c r="K112" s="7" t="s">
        <v>23</v>
      </c>
      <c r="L112" s="7"/>
      <c r="M112" s="7" t="s">
        <v>23</v>
      </c>
      <c r="N112" s="7"/>
      <c r="O112" s="12">
        <f t="shared" si="3"/>
        <v>30</v>
      </c>
      <c r="P112" s="12">
        <f t="shared" si="4"/>
        <v>7</v>
      </c>
      <c r="Q112" s="12">
        <f t="shared" si="5"/>
        <v>1975</v>
      </c>
    </row>
    <row r="113" spans="1:17" ht="21.75" customHeight="1" x14ac:dyDescent="0.3">
      <c r="B113" s="4">
        <v>107</v>
      </c>
      <c r="C113" s="3" t="s">
        <v>288</v>
      </c>
      <c r="D113" s="20" t="s">
        <v>289</v>
      </c>
      <c r="E113" s="7" t="s">
        <v>19</v>
      </c>
      <c r="F113" s="7" t="s">
        <v>38</v>
      </c>
      <c r="G113" s="10" t="s">
        <v>290</v>
      </c>
      <c r="H113" s="7"/>
      <c r="I113" s="7"/>
      <c r="J113" s="7"/>
      <c r="K113" s="7" t="s">
        <v>23</v>
      </c>
      <c r="L113" s="7"/>
      <c r="M113" s="7" t="s">
        <v>23</v>
      </c>
      <c r="N113" s="7" t="s">
        <v>25</v>
      </c>
      <c r="O113" s="12">
        <f t="shared" si="3"/>
        <v>23</v>
      </c>
      <c r="P113" s="12">
        <f t="shared" si="4"/>
        <v>8</v>
      </c>
      <c r="Q113" s="12">
        <f t="shared" si="5"/>
        <v>1997</v>
      </c>
    </row>
    <row r="114" spans="1:17" ht="21.75" customHeight="1" x14ac:dyDescent="0.3">
      <c r="B114" s="4">
        <v>108</v>
      </c>
      <c r="C114" s="3" t="s">
        <v>291</v>
      </c>
      <c r="D114" s="20" t="s">
        <v>292</v>
      </c>
      <c r="E114" s="7" t="s">
        <v>19</v>
      </c>
      <c r="F114" s="7" t="s">
        <v>38</v>
      </c>
      <c r="G114" s="10" t="s">
        <v>293</v>
      </c>
      <c r="H114" s="7"/>
      <c r="I114" s="7"/>
      <c r="J114" s="7"/>
      <c r="K114" s="7" t="s">
        <v>23</v>
      </c>
      <c r="L114" s="7"/>
      <c r="M114" s="7"/>
      <c r="N114" s="7" t="s">
        <v>25</v>
      </c>
      <c r="O114" s="12">
        <f t="shared" si="3"/>
        <v>23</v>
      </c>
      <c r="P114" s="12">
        <f t="shared" si="4"/>
        <v>10</v>
      </c>
      <c r="Q114" s="12">
        <f t="shared" si="5"/>
        <v>2000</v>
      </c>
    </row>
    <row r="115" spans="1:17" ht="21.75" customHeight="1" x14ac:dyDescent="0.3">
      <c r="B115" s="4">
        <v>109</v>
      </c>
      <c r="C115" s="3" t="s">
        <v>294</v>
      </c>
      <c r="D115" s="20" t="s">
        <v>295</v>
      </c>
      <c r="E115" s="7" t="s">
        <v>19</v>
      </c>
      <c r="F115" s="7" t="s">
        <v>38</v>
      </c>
      <c r="G115" s="10"/>
      <c r="H115" s="7"/>
      <c r="I115" s="7"/>
      <c r="J115" s="7"/>
      <c r="K115" s="7"/>
      <c r="L115" s="7"/>
      <c r="M115" s="7"/>
      <c r="N115" s="7"/>
      <c r="O115" s="12">
        <f t="shared" si="3"/>
        <v>1</v>
      </c>
      <c r="P115" s="12">
        <f t="shared" si="4"/>
        <v>3</v>
      </c>
      <c r="Q115" s="12">
        <f t="shared" si="5"/>
        <v>2013</v>
      </c>
    </row>
    <row r="116" spans="1:17" ht="21.75" customHeight="1" x14ac:dyDescent="0.3">
      <c r="B116" s="4">
        <v>110</v>
      </c>
      <c r="C116" s="3" t="s">
        <v>296</v>
      </c>
      <c r="D116" s="20" t="s">
        <v>295</v>
      </c>
      <c r="E116" s="7" t="s">
        <v>19</v>
      </c>
      <c r="F116" s="7" t="s">
        <v>38</v>
      </c>
      <c r="G116" s="10"/>
      <c r="H116" s="7"/>
      <c r="I116" s="7"/>
      <c r="J116" s="7"/>
      <c r="K116" s="7"/>
      <c r="L116" s="7"/>
      <c r="M116" s="7"/>
      <c r="N116" s="7"/>
      <c r="O116" s="12">
        <f t="shared" si="3"/>
        <v>1</v>
      </c>
      <c r="P116" s="12">
        <f t="shared" si="4"/>
        <v>3</v>
      </c>
      <c r="Q116" s="12">
        <f t="shared" si="5"/>
        <v>2013</v>
      </c>
    </row>
    <row r="117" spans="1:17" s="12" customFormat="1" ht="21.75" customHeight="1" x14ac:dyDescent="0.3">
      <c r="A117" s="18">
        <v>31</v>
      </c>
      <c r="B117" s="13">
        <v>111</v>
      </c>
      <c r="C117" s="14" t="s">
        <v>297</v>
      </c>
      <c r="D117" s="19" t="s">
        <v>221</v>
      </c>
      <c r="E117" s="16" t="s">
        <v>17</v>
      </c>
      <c r="F117" s="16" t="s">
        <v>38</v>
      </c>
      <c r="G117" s="15"/>
      <c r="H117" s="16" t="s">
        <v>23</v>
      </c>
      <c r="I117" s="16" t="s">
        <v>23</v>
      </c>
      <c r="J117" s="16" t="s">
        <v>23</v>
      </c>
      <c r="K117" s="16"/>
      <c r="L117" s="16"/>
      <c r="M117" s="16"/>
      <c r="N117" s="16"/>
      <c r="O117" s="12">
        <f t="shared" si="3"/>
        <v>1</v>
      </c>
      <c r="P117" s="12">
        <f t="shared" si="4"/>
        <v>1</v>
      </c>
      <c r="Q117" s="12">
        <f t="shared" si="5"/>
        <v>1954</v>
      </c>
    </row>
    <row r="118" spans="1:17" ht="21.75" customHeight="1" x14ac:dyDescent="0.3">
      <c r="B118" s="4">
        <v>112</v>
      </c>
      <c r="C118" s="3" t="s">
        <v>298</v>
      </c>
      <c r="D118" s="20" t="s">
        <v>299</v>
      </c>
      <c r="E118" s="7" t="s">
        <v>18</v>
      </c>
      <c r="F118" s="7" t="s">
        <v>38</v>
      </c>
      <c r="G118" s="10"/>
      <c r="H118" s="7"/>
      <c r="I118" s="7"/>
      <c r="J118" s="7"/>
      <c r="K118" s="7"/>
      <c r="L118" s="7"/>
      <c r="M118" s="7"/>
      <c r="N118" s="7"/>
      <c r="O118" s="12">
        <f t="shared" si="3"/>
        <v>1</v>
      </c>
      <c r="P118" s="12">
        <f t="shared" si="4"/>
        <v>1</v>
      </c>
      <c r="Q118" s="12">
        <f t="shared" si="5"/>
        <v>1952</v>
      </c>
    </row>
    <row r="119" spans="1:17" ht="21.75" customHeight="1" x14ac:dyDescent="0.3">
      <c r="B119" s="4">
        <v>113</v>
      </c>
      <c r="C119" s="3" t="s">
        <v>300</v>
      </c>
      <c r="D119" s="20" t="s">
        <v>301</v>
      </c>
      <c r="E119" s="7" t="s">
        <v>19</v>
      </c>
      <c r="F119" s="7" t="s">
        <v>38</v>
      </c>
      <c r="G119" s="10" t="s">
        <v>302</v>
      </c>
      <c r="H119" s="7"/>
      <c r="I119" s="7"/>
      <c r="J119" s="7"/>
      <c r="K119" s="7" t="s">
        <v>23</v>
      </c>
      <c r="L119" s="7" t="s">
        <v>23</v>
      </c>
      <c r="M119" s="7" t="s">
        <v>23</v>
      </c>
      <c r="N119" s="7" t="s">
        <v>245</v>
      </c>
      <c r="O119" s="12">
        <f t="shared" si="3"/>
        <v>12</v>
      </c>
      <c r="P119" s="12">
        <f t="shared" si="4"/>
        <v>6</v>
      </c>
      <c r="Q119" s="12">
        <f t="shared" si="5"/>
        <v>1994</v>
      </c>
    </row>
    <row r="120" spans="1:17" s="12" customFormat="1" ht="21.75" customHeight="1" x14ac:dyDescent="0.3">
      <c r="A120" s="18">
        <v>32</v>
      </c>
      <c r="B120" s="13">
        <v>114</v>
      </c>
      <c r="C120" s="14" t="s">
        <v>303</v>
      </c>
      <c r="D120" s="19" t="s">
        <v>304</v>
      </c>
      <c r="E120" s="16" t="s">
        <v>17</v>
      </c>
      <c r="F120" s="16" t="s">
        <v>38</v>
      </c>
      <c r="G120" s="15" t="s">
        <v>305</v>
      </c>
      <c r="H120" s="16" t="s">
        <v>23</v>
      </c>
      <c r="I120" s="16" t="s">
        <v>23</v>
      </c>
      <c r="J120" s="16" t="s">
        <v>23</v>
      </c>
      <c r="K120" s="16" t="s">
        <v>23</v>
      </c>
      <c r="L120" s="16" t="s">
        <v>23</v>
      </c>
      <c r="M120" s="16" t="s">
        <v>23</v>
      </c>
      <c r="N120" s="16" t="s">
        <v>29</v>
      </c>
      <c r="O120" s="12">
        <f t="shared" si="3"/>
        <v>30</v>
      </c>
      <c r="P120" s="12">
        <f t="shared" si="4"/>
        <v>8</v>
      </c>
      <c r="Q120" s="12">
        <f t="shared" si="5"/>
        <v>1981</v>
      </c>
    </row>
    <row r="121" spans="1:17" ht="21.75" customHeight="1" x14ac:dyDescent="0.3">
      <c r="B121" s="4">
        <v>115</v>
      </c>
      <c r="C121" s="3" t="s">
        <v>306</v>
      </c>
      <c r="D121" s="20" t="s">
        <v>307</v>
      </c>
      <c r="E121" s="7" t="s">
        <v>18</v>
      </c>
      <c r="F121" s="7" t="s">
        <v>38</v>
      </c>
      <c r="G121" s="10" t="s">
        <v>308</v>
      </c>
      <c r="H121" s="7"/>
      <c r="I121" s="7"/>
      <c r="J121" s="7"/>
      <c r="K121" s="7" t="s">
        <v>23</v>
      </c>
      <c r="L121" s="7"/>
      <c r="M121" s="7" t="s">
        <v>23</v>
      </c>
      <c r="N121" s="7" t="s">
        <v>29</v>
      </c>
      <c r="O121" s="12">
        <f t="shared" si="3"/>
        <v>19</v>
      </c>
      <c r="P121" s="12">
        <f t="shared" si="4"/>
        <v>8</v>
      </c>
      <c r="Q121" s="12">
        <f t="shared" si="5"/>
        <v>1986</v>
      </c>
    </row>
    <row r="122" spans="1:17" ht="21.75" customHeight="1" x14ac:dyDescent="0.3">
      <c r="B122" s="4">
        <v>116</v>
      </c>
      <c r="C122" s="3" t="s">
        <v>309</v>
      </c>
      <c r="D122" s="20" t="s">
        <v>310</v>
      </c>
      <c r="E122" s="7" t="s">
        <v>19</v>
      </c>
      <c r="F122" s="7" t="s">
        <v>38</v>
      </c>
      <c r="G122" s="10" t="s">
        <v>311</v>
      </c>
      <c r="H122" s="7"/>
      <c r="I122" s="7"/>
      <c r="J122" s="7"/>
      <c r="K122" s="7" t="s">
        <v>23</v>
      </c>
      <c r="L122" s="7"/>
      <c r="M122" s="7" t="s">
        <v>23</v>
      </c>
      <c r="N122" s="7" t="s">
        <v>29</v>
      </c>
      <c r="O122" s="12">
        <f t="shared" si="3"/>
        <v>7</v>
      </c>
      <c r="P122" s="12">
        <f t="shared" si="4"/>
        <v>3</v>
      </c>
      <c r="Q122" s="12">
        <f t="shared" si="5"/>
        <v>2009</v>
      </c>
    </row>
    <row r="123" spans="1:17" ht="21.75" customHeight="1" x14ac:dyDescent="0.3">
      <c r="B123" s="4">
        <v>117</v>
      </c>
      <c r="C123" s="3" t="s">
        <v>312</v>
      </c>
      <c r="D123" s="20" t="s">
        <v>313</v>
      </c>
      <c r="E123" s="7" t="s">
        <v>19</v>
      </c>
      <c r="F123" s="7" t="s">
        <v>38</v>
      </c>
      <c r="G123" s="10"/>
      <c r="H123" s="7"/>
      <c r="I123" s="7"/>
      <c r="J123" s="7"/>
      <c r="K123" s="7"/>
      <c r="L123" s="7"/>
      <c r="M123" s="7"/>
      <c r="N123" s="7"/>
      <c r="O123" s="12">
        <f t="shared" si="3"/>
        <v>16</v>
      </c>
      <c r="P123" s="12">
        <f t="shared" si="4"/>
        <v>1</v>
      </c>
      <c r="Q123" s="12">
        <f t="shared" si="5"/>
        <v>2015</v>
      </c>
    </row>
    <row r="124" spans="1:17" s="12" customFormat="1" ht="21.75" customHeight="1" x14ac:dyDescent="0.3">
      <c r="A124" s="18">
        <v>33</v>
      </c>
      <c r="B124" s="13">
        <v>118</v>
      </c>
      <c r="C124" s="14" t="s">
        <v>314</v>
      </c>
      <c r="D124" s="19" t="s">
        <v>315</v>
      </c>
      <c r="E124" s="16" t="s">
        <v>17</v>
      </c>
      <c r="F124" s="16" t="s">
        <v>38</v>
      </c>
      <c r="G124" s="15" t="s">
        <v>316</v>
      </c>
      <c r="H124" s="16" t="s">
        <v>23</v>
      </c>
      <c r="I124" s="16" t="s">
        <v>23</v>
      </c>
      <c r="J124" s="16" t="s">
        <v>23</v>
      </c>
      <c r="K124" s="16"/>
      <c r="L124" s="16" t="s">
        <v>23</v>
      </c>
      <c r="M124" s="16"/>
      <c r="N124" s="16"/>
      <c r="O124" s="12">
        <f t="shared" si="3"/>
        <v>19</v>
      </c>
      <c r="P124" s="12">
        <f t="shared" si="4"/>
        <v>5</v>
      </c>
      <c r="Q124" s="12">
        <f t="shared" si="5"/>
        <v>1973</v>
      </c>
    </row>
    <row r="125" spans="1:17" ht="21.75" customHeight="1" x14ac:dyDescent="0.3">
      <c r="B125" s="4">
        <v>119</v>
      </c>
      <c r="C125" s="3" t="s">
        <v>317</v>
      </c>
      <c r="D125" s="20" t="s">
        <v>318</v>
      </c>
      <c r="E125" s="7" t="s">
        <v>18</v>
      </c>
      <c r="F125" s="7" t="s">
        <v>38</v>
      </c>
      <c r="G125" s="10" t="s">
        <v>316</v>
      </c>
      <c r="H125" s="7"/>
      <c r="I125" s="7"/>
      <c r="J125" s="7"/>
      <c r="K125" s="7" t="s">
        <v>23</v>
      </c>
      <c r="L125" s="7"/>
      <c r="M125" s="7"/>
      <c r="N125" s="7"/>
      <c r="O125" s="12">
        <f t="shared" si="3"/>
        <v>24</v>
      </c>
      <c r="P125" s="12">
        <f t="shared" si="4"/>
        <v>6</v>
      </c>
      <c r="Q125" s="12">
        <f t="shared" si="5"/>
        <v>1977</v>
      </c>
    </row>
    <row r="126" spans="1:17" ht="21.75" customHeight="1" x14ac:dyDescent="0.3">
      <c r="B126" s="4">
        <v>120</v>
      </c>
      <c r="C126" s="3" t="s">
        <v>319</v>
      </c>
      <c r="D126" s="20" t="s">
        <v>320</v>
      </c>
      <c r="E126" s="7" t="s">
        <v>19</v>
      </c>
      <c r="F126" s="7" t="s">
        <v>38</v>
      </c>
      <c r="G126" s="10" t="s">
        <v>321</v>
      </c>
      <c r="H126" s="7"/>
      <c r="I126" s="7"/>
      <c r="J126" s="7"/>
      <c r="K126" s="7" t="s">
        <v>23</v>
      </c>
      <c r="L126" s="7"/>
      <c r="M126" s="7" t="s">
        <v>23</v>
      </c>
      <c r="N126" s="7" t="s">
        <v>25</v>
      </c>
      <c r="O126" s="12">
        <f t="shared" si="3"/>
        <v>19</v>
      </c>
      <c r="P126" s="12">
        <f t="shared" si="4"/>
        <v>1</v>
      </c>
      <c r="Q126" s="12">
        <f t="shared" si="5"/>
        <v>2002</v>
      </c>
    </row>
    <row r="127" spans="1:17" ht="21.75" customHeight="1" x14ac:dyDescent="0.3">
      <c r="B127" s="4">
        <v>121</v>
      </c>
      <c r="C127" s="3" t="s">
        <v>322</v>
      </c>
      <c r="D127" s="20" t="s">
        <v>323</v>
      </c>
      <c r="E127" s="7" t="s">
        <v>19</v>
      </c>
      <c r="F127" s="7" t="s">
        <v>38</v>
      </c>
      <c r="G127" s="10" t="s">
        <v>324</v>
      </c>
      <c r="H127" s="7"/>
      <c r="I127" s="7"/>
      <c r="J127" s="7"/>
      <c r="K127" s="7" t="s">
        <v>23</v>
      </c>
      <c r="L127" s="7"/>
      <c r="M127" s="7" t="s">
        <v>23</v>
      </c>
      <c r="N127" s="7" t="s">
        <v>25</v>
      </c>
      <c r="O127" s="12">
        <f t="shared" si="3"/>
        <v>9</v>
      </c>
      <c r="P127" s="12">
        <f t="shared" si="4"/>
        <v>1</v>
      </c>
      <c r="Q127" s="12">
        <f t="shared" si="5"/>
        <v>2006</v>
      </c>
    </row>
    <row r="128" spans="1:17" ht="21.75" customHeight="1" x14ac:dyDescent="0.3">
      <c r="B128" s="4">
        <v>122</v>
      </c>
      <c r="C128" s="3" t="s">
        <v>325</v>
      </c>
      <c r="D128" s="20" t="s">
        <v>326</v>
      </c>
      <c r="E128" s="7" t="s">
        <v>19</v>
      </c>
      <c r="F128" s="7" t="s">
        <v>38</v>
      </c>
      <c r="G128" s="10" t="s">
        <v>327</v>
      </c>
      <c r="H128" s="7"/>
      <c r="I128" s="7"/>
      <c r="J128" s="7"/>
      <c r="K128" s="7" t="s">
        <v>23</v>
      </c>
      <c r="L128" s="7"/>
      <c r="M128" s="7" t="s">
        <v>23</v>
      </c>
      <c r="N128" s="7" t="s">
        <v>25</v>
      </c>
      <c r="O128" s="12">
        <f t="shared" si="3"/>
        <v>14</v>
      </c>
      <c r="P128" s="12">
        <f t="shared" si="4"/>
        <v>5</v>
      </c>
      <c r="Q128" s="12">
        <f t="shared" si="5"/>
        <v>2008</v>
      </c>
    </row>
    <row r="129" spans="1:17" s="12" customFormat="1" ht="21.75" customHeight="1" x14ac:dyDescent="0.3">
      <c r="A129" s="18">
        <v>34</v>
      </c>
      <c r="B129" s="13">
        <v>123</v>
      </c>
      <c r="C129" s="14" t="s">
        <v>328</v>
      </c>
      <c r="D129" s="19" t="s">
        <v>206</v>
      </c>
      <c r="E129" s="16" t="s">
        <v>17</v>
      </c>
      <c r="F129" s="16" t="s">
        <v>38</v>
      </c>
      <c r="G129" s="15" t="s">
        <v>329</v>
      </c>
      <c r="H129" s="16" t="s">
        <v>23</v>
      </c>
      <c r="I129" s="16" t="s">
        <v>23</v>
      </c>
      <c r="J129" s="16" t="s">
        <v>23</v>
      </c>
      <c r="K129" s="16" t="s">
        <v>23</v>
      </c>
      <c r="L129" s="16" t="s">
        <v>23</v>
      </c>
      <c r="M129" s="16" t="s">
        <v>23</v>
      </c>
      <c r="N129" s="16" t="s">
        <v>68</v>
      </c>
      <c r="O129" s="12">
        <f t="shared" si="3"/>
        <v>1</v>
      </c>
      <c r="P129" s="12">
        <f t="shared" si="4"/>
        <v>1</v>
      </c>
      <c r="Q129" s="12">
        <f t="shared" si="5"/>
        <v>1980</v>
      </c>
    </row>
    <row r="130" spans="1:17" ht="21.75" customHeight="1" x14ac:dyDescent="0.3">
      <c r="B130" s="4">
        <v>124</v>
      </c>
      <c r="C130" s="3" t="s">
        <v>330</v>
      </c>
      <c r="D130" s="20" t="s">
        <v>331</v>
      </c>
      <c r="E130" s="7" t="s">
        <v>19</v>
      </c>
      <c r="F130" s="7" t="s">
        <v>38</v>
      </c>
      <c r="G130" s="10" t="s">
        <v>332</v>
      </c>
      <c r="H130" s="7"/>
      <c r="I130" s="7"/>
      <c r="J130" s="7"/>
      <c r="K130" s="7" t="s">
        <v>23</v>
      </c>
      <c r="L130" s="7"/>
      <c r="M130" s="7" t="s">
        <v>23</v>
      </c>
      <c r="N130" s="7" t="s">
        <v>25</v>
      </c>
      <c r="O130" s="12">
        <f t="shared" si="3"/>
        <v>1</v>
      </c>
      <c r="P130" s="12">
        <f t="shared" si="4"/>
        <v>1</v>
      </c>
      <c r="Q130" s="12">
        <f t="shared" si="5"/>
        <v>2008</v>
      </c>
    </row>
    <row r="131" spans="1:17" ht="21.75" customHeight="1" x14ac:dyDescent="0.3">
      <c r="B131" s="4">
        <v>125</v>
      </c>
      <c r="C131" s="3" t="s">
        <v>333</v>
      </c>
      <c r="D131" s="20" t="s">
        <v>334</v>
      </c>
      <c r="E131" s="7" t="s">
        <v>18</v>
      </c>
      <c r="F131" s="7" t="s">
        <v>38</v>
      </c>
      <c r="G131" s="10" t="s">
        <v>335</v>
      </c>
      <c r="H131" s="7"/>
      <c r="I131" s="7"/>
      <c r="J131" s="7"/>
      <c r="K131" s="7" t="s">
        <v>23</v>
      </c>
      <c r="L131" s="7"/>
      <c r="M131" s="7" t="s">
        <v>23</v>
      </c>
      <c r="N131" s="7" t="s">
        <v>25</v>
      </c>
      <c r="O131" s="12">
        <f t="shared" si="3"/>
        <v>17</v>
      </c>
      <c r="P131" s="12">
        <f t="shared" si="4"/>
        <v>5</v>
      </c>
      <c r="Q131" s="12">
        <f t="shared" si="5"/>
        <v>1993</v>
      </c>
    </row>
    <row r="132" spans="1:17" ht="21.75" customHeight="1" x14ac:dyDescent="0.3">
      <c r="B132" s="4">
        <v>126</v>
      </c>
      <c r="C132" s="3" t="s">
        <v>336</v>
      </c>
      <c r="D132" s="20" t="s">
        <v>337</v>
      </c>
      <c r="E132" s="7" t="s">
        <v>19</v>
      </c>
      <c r="F132" s="7" t="s">
        <v>38</v>
      </c>
      <c r="G132" s="10"/>
      <c r="H132" s="7"/>
      <c r="I132" s="7"/>
      <c r="J132" s="7"/>
      <c r="K132" s="7"/>
      <c r="L132" s="7"/>
      <c r="M132" s="7"/>
      <c r="N132" s="7"/>
      <c r="O132" s="12">
        <f t="shared" si="3"/>
        <v>12</v>
      </c>
      <c r="P132" s="12">
        <f t="shared" si="4"/>
        <v>6</v>
      </c>
      <c r="Q132" s="12">
        <f t="shared" si="5"/>
        <v>2023</v>
      </c>
    </row>
    <row r="133" spans="1:17" s="12" customFormat="1" ht="21.75" customHeight="1" x14ac:dyDescent="0.3">
      <c r="A133" s="18">
        <v>35</v>
      </c>
      <c r="B133" s="13">
        <v>127</v>
      </c>
      <c r="C133" s="14" t="s">
        <v>338</v>
      </c>
      <c r="D133" s="19" t="s">
        <v>339</v>
      </c>
      <c r="E133" s="16" t="s">
        <v>17</v>
      </c>
      <c r="F133" s="16" t="s">
        <v>38</v>
      </c>
      <c r="G133" s="15" t="s">
        <v>340</v>
      </c>
      <c r="H133" s="16" t="s">
        <v>23</v>
      </c>
      <c r="I133" s="16" t="s">
        <v>23</v>
      </c>
      <c r="J133" s="16" t="s">
        <v>23</v>
      </c>
      <c r="K133" s="16" t="s">
        <v>23</v>
      </c>
      <c r="L133" s="16" t="s">
        <v>23</v>
      </c>
      <c r="M133" s="16" t="s">
        <v>23</v>
      </c>
      <c r="N133" s="16" t="s">
        <v>341</v>
      </c>
      <c r="O133" s="12">
        <f t="shared" si="3"/>
        <v>12</v>
      </c>
      <c r="P133" s="12">
        <f t="shared" si="4"/>
        <v>2</v>
      </c>
      <c r="Q133" s="12">
        <f t="shared" si="5"/>
        <v>1979</v>
      </c>
    </row>
    <row r="134" spans="1:17" ht="21.75" customHeight="1" x14ac:dyDescent="0.3">
      <c r="B134" s="4">
        <v>128</v>
      </c>
      <c r="C134" s="3" t="s">
        <v>342</v>
      </c>
      <c r="D134" s="20" t="s">
        <v>343</v>
      </c>
      <c r="E134" s="7" t="s">
        <v>19</v>
      </c>
      <c r="F134" s="7" t="s">
        <v>38</v>
      </c>
      <c r="G134" s="10" t="s">
        <v>344</v>
      </c>
      <c r="H134" s="7"/>
      <c r="I134" s="7"/>
      <c r="J134" s="7"/>
      <c r="K134" s="7" t="s">
        <v>23</v>
      </c>
      <c r="L134" s="7"/>
      <c r="M134" s="7" t="s">
        <v>23</v>
      </c>
      <c r="N134" s="7" t="s">
        <v>341</v>
      </c>
      <c r="O134" s="12">
        <f t="shared" si="3"/>
        <v>16</v>
      </c>
      <c r="P134" s="12">
        <f t="shared" si="4"/>
        <v>7</v>
      </c>
      <c r="Q134" s="12">
        <f t="shared" si="5"/>
        <v>2002</v>
      </c>
    </row>
    <row r="135" spans="1:17" ht="21.75" customHeight="1" x14ac:dyDescent="0.3">
      <c r="B135" s="4">
        <v>129</v>
      </c>
      <c r="C135" s="3" t="s">
        <v>345</v>
      </c>
      <c r="D135" s="20" t="s">
        <v>346</v>
      </c>
      <c r="E135" s="7" t="s">
        <v>19</v>
      </c>
      <c r="F135" s="7" t="s">
        <v>38</v>
      </c>
      <c r="G135" s="10" t="s">
        <v>347</v>
      </c>
      <c r="H135" s="7"/>
      <c r="I135" s="7"/>
      <c r="J135" s="7"/>
      <c r="K135" s="7" t="s">
        <v>23</v>
      </c>
      <c r="L135" s="7"/>
      <c r="M135" s="7" t="s">
        <v>23</v>
      </c>
      <c r="N135" s="7" t="s">
        <v>68</v>
      </c>
      <c r="O135" s="12">
        <f t="shared" si="3"/>
        <v>13</v>
      </c>
      <c r="P135" s="12">
        <f t="shared" si="4"/>
        <v>11</v>
      </c>
      <c r="Q135" s="12">
        <f t="shared" si="5"/>
        <v>2004</v>
      </c>
    </row>
    <row r="136" spans="1:17" s="12" customFormat="1" ht="21.75" customHeight="1" x14ac:dyDescent="0.3">
      <c r="A136" s="18">
        <v>36</v>
      </c>
      <c r="B136" s="13">
        <v>130</v>
      </c>
      <c r="C136" s="14" t="s">
        <v>348</v>
      </c>
      <c r="D136" s="19" t="s">
        <v>221</v>
      </c>
      <c r="E136" s="16" t="s">
        <v>17</v>
      </c>
      <c r="F136" s="16" t="s">
        <v>38</v>
      </c>
      <c r="G136" s="15" t="s">
        <v>349</v>
      </c>
      <c r="H136" s="16" t="s">
        <v>23</v>
      </c>
      <c r="I136" s="16" t="s">
        <v>23</v>
      </c>
      <c r="J136" s="16" t="s">
        <v>23</v>
      </c>
      <c r="K136" s="16"/>
      <c r="L136" s="16" t="s">
        <v>23</v>
      </c>
      <c r="M136" s="16" t="s">
        <v>23</v>
      </c>
      <c r="N136" s="16" t="s">
        <v>24</v>
      </c>
      <c r="O136" s="12">
        <f t="shared" ref="O136:O199" si="6">DAY(D136)</f>
        <v>1</v>
      </c>
      <c r="P136" s="12">
        <f t="shared" ref="P136:P199" si="7">MONTH(D136)</f>
        <v>1</v>
      </c>
      <c r="Q136" s="12">
        <f t="shared" ref="Q136:Q199" si="8">YEAR(D136)</f>
        <v>1954</v>
      </c>
    </row>
    <row r="137" spans="1:17" ht="21.75" customHeight="1" x14ac:dyDescent="0.3">
      <c r="B137" s="13">
        <v>131</v>
      </c>
      <c r="C137" s="3" t="s">
        <v>350</v>
      </c>
      <c r="D137" s="20" t="s">
        <v>351</v>
      </c>
      <c r="E137" s="7" t="s">
        <v>20</v>
      </c>
      <c r="F137" s="7" t="s">
        <v>38</v>
      </c>
      <c r="G137" s="10"/>
      <c r="H137" s="7"/>
      <c r="I137" s="7"/>
      <c r="J137" s="7"/>
      <c r="K137" s="7"/>
      <c r="L137" s="7"/>
      <c r="M137" s="7" t="s">
        <v>23</v>
      </c>
      <c r="N137" s="7"/>
      <c r="O137" s="12">
        <f t="shared" si="6"/>
        <v>1</v>
      </c>
      <c r="P137" s="12">
        <f t="shared" si="7"/>
        <v>1</v>
      </c>
      <c r="Q137" s="12">
        <f t="shared" si="8"/>
        <v>1956</v>
      </c>
    </row>
    <row r="138" spans="1:17" ht="21.75" customHeight="1" x14ac:dyDescent="0.3">
      <c r="B138" s="4">
        <v>132</v>
      </c>
      <c r="C138" s="3" t="s">
        <v>352</v>
      </c>
      <c r="D138" s="20" t="s">
        <v>353</v>
      </c>
      <c r="E138" s="7" t="s">
        <v>19</v>
      </c>
      <c r="F138" s="7" t="s">
        <v>38</v>
      </c>
      <c r="G138" s="10"/>
      <c r="H138" s="7"/>
      <c r="I138" s="7"/>
      <c r="J138" s="7"/>
      <c r="K138" s="7"/>
      <c r="L138" s="7"/>
      <c r="M138" s="7" t="s">
        <v>23</v>
      </c>
      <c r="N138" s="7" t="s">
        <v>34</v>
      </c>
      <c r="O138" s="12">
        <f t="shared" si="6"/>
        <v>30</v>
      </c>
      <c r="P138" s="12">
        <f t="shared" si="7"/>
        <v>11</v>
      </c>
      <c r="Q138" s="12">
        <f t="shared" si="8"/>
        <v>1993</v>
      </c>
    </row>
    <row r="139" spans="1:17" s="12" customFormat="1" ht="21.75" customHeight="1" x14ac:dyDescent="0.3">
      <c r="A139" s="18">
        <v>37</v>
      </c>
      <c r="B139" s="13">
        <v>133</v>
      </c>
      <c r="C139" s="14" t="s">
        <v>354</v>
      </c>
      <c r="D139" s="19" t="s">
        <v>355</v>
      </c>
      <c r="E139" s="16" t="s">
        <v>17</v>
      </c>
      <c r="F139" s="16" t="s">
        <v>38</v>
      </c>
      <c r="G139" s="15" t="s">
        <v>356</v>
      </c>
      <c r="H139" s="16" t="s">
        <v>23</v>
      </c>
      <c r="I139" s="16" t="s">
        <v>23</v>
      </c>
      <c r="J139" s="16" t="s">
        <v>23</v>
      </c>
      <c r="K139" s="16" t="s">
        <v>23</v>
      </c>
      <c r="L139" s="16" t="s">
        <v>23</v>
      </c>
      <c r="M139" s="16" t="s">
        <v>23</v>
      </c>
      <c r="N139" s="16"/>
      <c r="O139" s="12">
        <f t="shared" si="6"/>
        <v>10</v>
      </c>
      <c r="P139" s="12">
        <f t="shared" si="7"/>
        <v>11</v>
      </c>
      <c r="Q139" s="12">
        <f t="shared" si="8"/>
        <v>1975</v>
      </c>
    </row>
    <row r="140" spans="1:17" ht="21.75" customHeight="1" x14ac:dyDescent="0.3">
      <c r="B140" s="4">
        <v>134</v>
      </c>
      <c r="C140" s="3" t="s">
        <v>357</v>
      </c>
      <c r="D140" s="20" t="s">
        <v>358</v>
      </c>
      <c r="E140" s="7" t="s">
        <v>18</v>
      </c>
      <c r="F140" s="7" t="s">
        <v>38</v>
      </c>
      <c r="G140" s="10" t="s">
        <v>359</v>
      </c>
      <c r="H140" s="7"/>
      <c r="I140" s="7"/>
      <c r="J140" s="7"/>
      <c r="K140" s="7" t="s">
        <v>23</v>
      </c>
      <c r="L140" s="7"/>
      <c r="M140" s="7" t="s">
        <v>23</v>
      </c>
      <c r="N140" s="7" t="s">
        <v>341</v>
      </c>
      <c r="O140" s="12">
        <f t="shared" si="6"/>
        <v>13</v>
      </c>
      <c r="P140" s="12">
        <f t="shared" si="7"/>
        <v>8</v>
      </c>
      <c r="Q140" s="12">
        <f t="shared" si="8"/>
        <v>1980</v>
      </c>
    </row>
    <row r="141" spans="1:17" ht="21.75" customHeight="1" x14ac:dyDescent="0.3">
      <c r="B141" s="4">
        <v>135</v>
      </c>
      <c r="C141" s="3" t="s">
        <v>360</v>
      </c>
      <c r="D141" s="20" t="s">
        <v>361</v>
      </c>
      <c r="E141" s="7" t="s">
        <v>19</v>
      </c>
      <c r="F141" s="7" t="s">
        <v>38</v>
      </c>
      <c r="G141" s="10" t="s">
        <v>362</v>
      </c>
      <c r="H141" s="7"/>
      <c r="I141" s="7"/>
      <c r="J141" s="7"/>
      <c r="K141" s="7" t="s">
        <v>23</v>
      </c>
      <c r="L141" s="7"/>
      <c r="M141" s="7" t="s">
        <v>23</v>
      </c>
      <c r="N141" s="7" t="s">
        <v>24</v>
      </c>
      <c r="O141" s="12">
        <f t="shared" si="6"/>
        <v>16</v>
      </c>
      <c r="P141" s="12">
        <f t="shared" si="7"/>
        <v>6</v>
      </c>
      <c r="Q141" s="12">
        <f t="shared" si="8"/>
        <v>2000</v>
      </c>
    </row>
    <row r="142" spans="1:17" ht="21.75" customHeight="1" x14ac:dyDescent="0.3">
      <c r="B142" s="4">
        <v>136</v>
      </c>
      <c r="C142" s="3" t="s">
        <v>363</v>
      </c>
      <c r="D142" s="20" t="s">
        <v>364</v>
      </c>
      <c r="E142" s="7" t="s">
        <v>19</v>
      </c>
      <c r="F142" s="7" t="s">
        <v>38</v>
      </c>
      <c r="G142" s="10" t="s">
        <v>365</v>
      </c>
      <c r="H142" s="7"/>
      <c r="I142" s="7"/>
      <c r="J142" s="7"/>
      <c r="K142" s="7" t="s">
        <v>23</v>
      </c>
      <c r="L142" s="7"/>
      <c r="M142" s="7" t="s">
        <v>23</v>
      </c>
      <c r="N142" s="7" t="s">
        <v>42</v>
      </c>
      <c r="O142" s="12">
        <f t="shared" si="6"/>
        <v>5</v>
      </c>
      <c r="P142" s="12">
        <f t="shared" si="7"/>
        <v>2</v>
      </c>
      <c r="Q142" s="12">
        <f t="shared" si="8"/>
        <v>2005</v>
      </c>
    </row>
    <row r="143" spans="1:17" ht="21.75" customHeight="1" x14ac:dyDescent="0.3">
      <c r="B143" s="4">
        <v>137</v>
      </c>
      <c r="C143" s="3" t="s">
        <v>366</v>
      </c>
      <c r="D143" s="20" t="s">
        <v>367</v>
      </c>
      <c r="E143" s="7" t="s">
        <v>19</v>
      </c>
      <c r="F143" s="7" t="s">
        <v>38</v>
      </c>
      <c r="G143" s="10" t="s">
        <v>368</v>
      </c>
      <c r="H143" s="7"/>
      <c r="I143" s="7"/>
      <c r="J143" s="7"/>
      <c r="K143" s="7" t="s">
        <v>23</v>
      </c>
      <c r="L143" s="7"/>
      <c r="M143" s="7"/>
      <c r="N143" s="7"/>
      <c r="O143" s="12">
        <f t="shared" si="6"/>
        <v>12</v>
      </c>
      <c r="P143" s="12">
        <f t="shared" si="7"/>
        <v>2</v>
      </c>
      <c r="Q143" s="12">
        <f t="shared" si="8"/>
        <v>2008</v>
      </c>
    </row>
    <row r="144" spans="1:17" s="12" customFormat="1" ht="21.75" customHeight="1" x14ac:dyDescent="0.3">
      <c r="A144" s="18">
        <v>38</v>
      </c>
      <c r="B144" s="13">
        <v>138</v>
      </c>
      <c r="C144" s="14" t="s">
        <v>371</v>
      </c>
      <c r="D144" s="19" t="s">
        <v>369</v>
      </c>
      <c r="E144" s="16" t="s">
        <v>17</v>
      </c>
      <c r="F144" s="16" t="s">
        <v>38</v>
      </c>
      <c r="G144" s="15" t="s">
        <v>370</v>
      </c>
      <c r="H144" s="16" t="s">
        <v>23</v>
      </c>
      <c r="I144" s="16" t="s">
        <v>23</v>
      </c>
      <c r="J144" s="16" t="s">
        <v>23</v>
      </c>
      <c r="K144" s="16" t="s">
        <v>23</v>
      </c>
      <c r="L144" s="16" t="s">
        <v>23</v>
      </c>
      <c r="M144" s="16" t="s">
        <v>23</v>
      </c>
      <c r="N144" s="16" t="s">
        <v>24</v>
      </c>
      <c r="O144" s="12">
        <f t="shared" si="6"/>
        <v>12</v>
      </c>
      <c r="P144" s="12">
        <f t="shared" si="7"/>
        <v>11</v>
      </c>
      <c r="Q144" s="12">
        <f t="shared" si="8"/>
        <v>1980</v>
      </c>
    </row>
    <row r="145" spans="1:17" ht="21.75" customHeight="1" x14ac:dyDescent="0.3">
      <c r="B145" s="4">
        <v>139</v>
      </c>
      <c r="C145" s="3" t="s">
        <v>372</v>
      </c>
      <c r="D145" s="20" t="s">
        <v>373</v>
      </c>
      <c r="E145" s="7" t="s">
        <v>18</v>
      </c>
      <c r="F145" s="7" t="s">
        <v>38</v>
      </c>
      <c r="G145" s="10" t="s">
        <v>374</v>
      </c>
      <c r="H145" s="7"/>
      <c r="I145" s="7"/>
      <c r="J145" s="7"/>
      <c r="K145" s="7" t="s">
        <v>23</v>
      </c>
      <c r="L145" s="7"/>
      <c r="M145" s="7" t="s">
        <v>23</v>
      </c>
      <c r="N145" s="7" t="s">
        <v>341</v>
      </c>
      <c r="O145" s="12">
        <f t="shared" si="6"/>
        <v>9</v>
      </c>
      <c r="P145" s="12">
        <f t="shared" si="7"/>
        <v>11</v>
      </c>
      <c r="Q145" s="12">
        <f t="shared" si="8"/>
        <v>1980</v>
      </c>
    </row>
    <row r="146" spans="1:17" ht="21.75" customHeight="1" x14ac:dyDescent="0.3">
      <c r="B146" s="4">
        <v>140</v>
      </c>
      <c r="C146" s="3" t="s">
        <v>375</v>
      </c>
      <c r="D146" s="20" t="s">
        <v>376</v>
      </c>
      <c r="E146" s="7" t="s">
        <v>19</v>
      </c>
      <c r="F146" s="7" t="s">
        <v>38</v>
      </c>
      <c r="G146" s="10" t="s">
        <v>377</v>
      </c>
      <c r="H146" s="7"/>
      <c r="I146" s="7"/>
      <c r="J146" s="7"/>
      <c r="K146" s="7" t="s">
        <v>23</v>
      </c>
      <c r="L146" s="7"/>
      <c r="M146" s="7" t="s">
        <v>23</v>
      </c>
      <c r="N146" s="7" t="s">
        <v>33</v>
      </c>
      <c r="O146" s="12"/>
      <c r="P146" s="12"/>
      <c r="Q146" s="12">
        <v>2009</v>
      </c>
    </row>
    <row r="147" spans="1:17" ht="21.75" customHeight="1" x14ac:dyDescent="0.3">
      <c r="B147" s="4">
        <v>141</v>
      </c>
      <c r="C147" s="3" t="s">
        <v>378</v>
      </c>
      <c r="D147" s="20" t="s">
        <v>379</v>
      </c>
      <c r="E147" s="7" t="s">
        <v>19</v>
      </c>
      <c r="F147" s="7" t="s">
        <v>38</v>
      </c>
      <c r="G147" s="10"/>
      <c r="H147" s="7"/>
      <c r="I147" s="7"/>
      <c r="J147" s="7"/>
      <c r="K147" s="7"/>
      <c r="L147" s="7"/>
      <c r="M147" s="7"/>
      <c r="N147" s="7"/>
      <c r="O147" s="12"/>
      <c r="P147" s="12"/>
      <c r="Q147" s="12">
        <v>2019</v>
      </c>
    </row>
    <row r="148" spans="1:17" s="12" customFormat="1" ht="21.75" customHeight="1" x14ac:dyDescent="0.3">
      <c r="A148" s="18">
        <v>39</v>
      </c>
      <c r="B148" s="13">
        <v>142</v>
      </c>
      <c r="C148" s="14" t="s">
        <v>380</v>
      </c>
      <c r="D148" s="19" t="s">
        <v>381</v>
      </c>
      <c r="E148" s="16" t="s">
        <v>17</v>
      </c>
      <c r="F148" s="16" t="s">
        <v>38</v>
      </c>
      <c r="G148" s="15" t="s">
        <v>382</v>
      </c>
      <c r="H148" s="16" t="s">
        <v>23</v>
      </c>
      <c r="I148" s="16" t="s">
        <v>23</v>
      </c>
      <c r="J148" s="16" t="s">
        <v>23</v>
      </c>
      <c r="K148" s="16" t="s">
        <v>23</v>
      </c>
      <c r="L148" s="16" t="s">
        <v>23</v>
      </c>
      <c r="M148" s="16" t="s">
        <v>23</v>
      </c>
      <c r="N148" s="16" t="s">
        <v>42</v>
      </c>
      <c r="O148" s="12">
        <f t="shared" si="6"/>
        <v>31</v>
      </c>
      <c r="P148" s="12">
        <f t="shared" si="7"/>
        <v>8</v>
      </c>
      <c r="Q148" s="12">
        <f t="shared" si="8"/>
        <v>1996</v>
      </c>
    </row>
    <row r="149" spans="1:17" ht="21.75" customHeight="1" x14ac:dyDescent="0.3">
      <c r="B149" s="4">
        <v>143</v>
      </c>
      <c r="C149" s="3" t="s">
        <v>383</v>
      </c>
      <c r="D149" s="20" t="s">
        <v>384</v>
      </c>
      <c r="E149" s="7" t="s">
        <v>18</v>
      </c>
      <c r="F149" s="7" t="s">
        <v>38</v>
      </c>
      <c r="G149" s="10" t="s">
        <v>385</v>
      </c>
      <c r="H149" s="7"/>
      <c r="I149" s="7"/>
      <c r="J149" s="7"/>
      <c r="K149" s="7" t="s">
        <v>23</v>
      </c>
      <c r="L149" s="7"/>
      <c r="M149" s="7" t="s">
        <v>23</v>
      </c>
      <c r="N149" s="7" t="s">
        <v>68</v>
      </c>
      <c r="O149" s="12">
        <f t="shared" si="6"/>
        <v>10</v>
      </c>
      <c r="P149" s="12">
        <f t="shared" si="7"/>
        <v>12</v>
      </c>
      <c r="Q149" s="12">
        <f t="shared" si="8"/>
        <v>1994</v>
      </c>
    </row>
    <row r="150" spans="1:17" ht="21.75" customHeight="1" x14ac:dyDescent="0.3">
      <c r="B150" s="4">
        <v>144</v>
      </c>
      <c r="C150" s="3" t="s">
        <v>386</v>
      </c>
      <c r="D150" s="20" t="s">
        <v>387</v>
      </c>
      <c r="E150" s="7" t="s">
        <v>19</v>
      </c>
      <c r="F150" s="7" t="s">
        <v>38</v>
      </c>
      <c r="G150" s="10"/>
      <c r="H150" s="7"/>
      <c r="I150" s="7"/>
      <c r="J150" s="7"/>
      <c r="K150" s="7"/>
      <c r="L150" s="7"/>
      <c r="M150" s="7"/>
      <c r="N150" s="7"/>
      <c r="O150" s="12">
        <f t="shared" si="6"/>
        <v>26</v>
      </c>
      <c r="P150" s="12">
        <f t="shared" si="7"/>
        <v>10</v>
      </c>
      <c r="Q150" s="12">
        <f t="shared" si="8"/>
        <v>2018</v>
      </c>
    </row>
    <row r="151" spans="1:17" s="12" customFormat="1" ht="21.75" customHeight="1" x14ac:dyDescent="0.3">
      <c r="A151" s="18">
        <v>40</v>
      </c>
      <c r="B151" s="13">
        <v>145</v>
      </c>
      <c r="C151" s="14" t="s">
        <v>388</v>
      </c>
      <c r="D151" s="19" t="s">
        <v>389</v>
      </c>
      <c r="E151" s="16" t="s">
        <v>17</v>
      </c>
      <c r="F151" s="16" t="s">
        <v>38</v>
      </c>
      <c r="G151" s="15" t="s">
        <v>390</v>
      </c>
      <c r="H151" s="16" t="s">
        <v>23</v>
      </c>
      <c r="I151" s="16" t="s">
        <v>23</v>
      </c>
      <c r="J151" s="16" t="s">
        <v>23</v>
      </c>
      <c r="K151" s="16" t="s">
        <v>23</v>
      </c>
      <c r="L151" s="16" t="s">
        <v>23</v>
      </c>
      <c r="M151" s="16" t="s">
        <v>23</v>
      </c>
      <c r="N151" s="16" t="s">
        <v>24</v>
      </c>
      <c r="O151" s="12">
        <f t="shared" si="6"/>
        <v>4</v>
      </c>
      <c r="P151" s="12">
        <f t="shared" si="7"/>
        <v>12</v>
      </c>
      <c r="Q151" s="12">
        <f t="shared" si="8"/>
        <v>1972</v>
      </c>
    </row>
    <row r="152" spans="1:17" ht="21.75" customHeight="1" x14ac:dyDescent="0.3">
      <c r="B152" s="4">
        <v>146</v>
      </c>
      <c r="C152" s="3" t="s">
        <v>391</v>
      </c>
      <c r="D152" s="20" t="s">
        <v>392</v>
      </c>
      <c r="E152" s="7" t="s">
        <v>18</v>
      </c>
      <c r="F152" s="7" t="s">
        <v>38</v>
      </c>
      <c r="G152" s="10" t="s">
        <v>393</v>
      </c>
      <c r="H152" s="7"/>
      <c r="I152" s="7"/>
      <c r="J152" s="7"/>
      <c r="K152" s="7" t="s">
        <v>23</v>
      </c>
      <c r="L152" s="7"/>
      <c r="M152" s="7" t="s">
        <v>23</v>
      </c>
      <c r="N152" s="7" t="s">
        <v>138</v>
      </c>
      <c r="O152" s="12">
        <f t="shared" si="6"/>
        <v>3</v>
      </c>
      <c r="P152" s="12">
        <f t="shared" si="7"/>
        <v>2</v>
      </c>
      <c r="Q152" s="12">
        <f t="shared" si="8"/>
        <v>1979</v>
      </c>
    </row>
    <row r="153" spans="1:17" ht="21.75" customHeight="1" x14ac:dyDescent="0.3">
      <c r="B153" s="4">
        <v>147</v>
      </c>
      <c r="C153" s="3" t="s">
        <v>394</v>
      </c>
      <c r="D153" s="20" t="s">
        <v>395</v>
      </c>
      <c r="E153" s="7" t="s">
        <v>19</v>
      </c>
      <c r="F153" s="7" t="s">
        <v>38</v>
      </c>
      <c r="G153" s="10" t="s">
        <v>396</v>
      </c>
      <c r="H153" s="7"/>
      <c r="I153" s="7"/>
      <c r="J153" s="7"/>
      <c r="K153" s="7" t="s">
        <v>23</v>
      </c>
      <c r="L153" s="7"/>
      <c r="M153" s="7" t="s">
        <v>23</v>
      </c>
      <c r="N153" s="7" t="s">
        <v>42</v>
      </c>
      <c r="O153" s="12">
        <f t="shared" si="6"/>
        <v>18</v>
      </c>
      <c r="P153" s="12">
        <f t="shared" si="7"/>
        <v>9</v>
      </c>
      <c r="Q153" s="12">
        <f t="shared" si="8"/>
        <v>1998</v>
      </c>
    </row>
    <row r="154" spans="1:17" ht="21.75" customHeight="1" x14ac:dyDescent="0.3">
      <c r="B154" s="4">
        <v>148</v>
      </c>
      <c r="C154" s="3" t="s">
        <v>397</v>
      </c>
      <c r="D154" s="20" t="s">
        <v>398</v>
      </c>
      <c r="E154" s="7" t="s">
        <v>19</v>
      </c>
      <c r="F154" s="7" t="s">
        <v>38</v>
      </c>
      <c r="G154" s="10" t="s">
        <v>399</v>
      </c>
      <c r="H154" s="7"/>
      <c r="I154" s="7"/>
      <c r="J154" s="7"/>
      <c r="K154" s="7" t="s">
        <v>23</v>
      </c>
      <c r="L154" s="7"/>
      <c r="M154" s="7" t="s">
        <v>23</v>
      </c>
      <c r="N154" s="7" t="s">
        <v>27</v>
      </c>
      <c r="O154" s="12">
        <f t="shared" si="6"/>
        <v>17</v>
      </c>
      <c r="P154" s="12">
        <f t="shared" si="7"/>
        <v>11</v>
      </c>
      <c r="Q154" s="12">
        <f t="shared" si="8"/>
        <v>2003</v>
      </c>
    </row>
    <row r="155" spans="1:17" s="12" customFormat="1" ht="21.75" customHeight="1" x14ac:dyDescent="0.3">
      <c r="A155" s="18">
        <v>41</v>
      </c>
      <c r="B155" s="13">
        <v>149</v>
      </c>
      <c r="C155" s="14" t="s">
        <v>402</v>
      </c>
      <c r="D155" s="19" t="s">
        <v>400</v>
      </c>
      <c r="E155" s="16" t="s">
        <v>17</v>
      </c>
      <c r="F155" s="16" t="s">
        <v>38</v>
      </c>
      <c r="G155" s="15" t="s">
        <v>401</v>
      </c>
      <c r="H155" s="16" t="s">
        <v>23</v>
      </c>
      <c r="I155" s="16" t="s">
        <v>23</v>
      </c>
      <c r="J155" s="16" t="s">
        <v>23</v>
      </c>
      <c r="K155" s="16" t="s">
        <v>23</v>
      </c>
      <c r="L155" s="16" t="s">
        <v>23</v>
      </c>
      <c r="M155" s="16" t="s">
        <v>23</v>
      </c>
      <c r="N155" s="16" t="s">
        <v>24</v>
      </c>
      <c r="O155" s="12">
        <f t="shared" si="6"/>
        <v>12</v>
      </c>
      <c r="P155" s="12">
        <f t="shared" si="7"/>
        <v>10</v>
      </c>
      <c r="Q155" s="12">
        <f t="shared" si="8"/>
        <v>1966</v>
      </c>
    </row>
    <row r="156" spans="1:17" ht="21.75" customHeight="1" x14ac:dyDescent="0.3">
      <c r="B156" s="4">
        <v>150</v>
      </c>
      <c r="C156" s="3" t="s">
        <v>403</v>
      </c>
      <c r="D156" s="20" t="s">
        <v>404</v>
      </c>
      <c r="E156" s="7" t="s">
        <v>18</v>
      </c>
      <c r="F156" s="7" t="s">
        <v>38</v>
      </c>
      <c r="G156" s="10" t="s">
        <v>401</v>
      </c>
      <c r="H156" s="7"/>
      <c r="I156" s="7"/>
      <c r="J156" s="7"/>
      <c r="K156" s="7"/>
      <c r="L156" s="7"/>
      <c r="M156" s="7"/>
      <c r="N156" s="7"/>
      <c r="O156" s="12">
        <f t="shared" si="6"/>
        <v>7</v>
      </c>
      <c r="P156" s="12">
        <f t="shared" si="7"/>
        <v>2</v>
      </c>
      <c r="Q156" s="12">
        <f t="shared" si="8"/>
        <v>1967</v>
      </c>
    </row>
    <row r="157" spans="1:17" ht="21.75" customHeight="1" x14ac:dyDescent="0.3">
      <c r="B157" s="4">
        <v>151</v>
      </c>
      <c r="C157" s="3" t="s">
        <v>405</v>
      </c>
      <c r="D157" s="20">
        <v>34913</v>
      </c>
      <c r="E157" s="7" t="s">
        <v>19</v>
      </c>
      <c r="F157" s="7" t="s">
        <v>38</v>
      </c>
      <c r="G157" s="10" t="s">
        <v>406</v>
      </c>
      <c r="H157" s="7"/>
      <c r="I157" s="7"/>
      <c r="J157" s="7"/>
      <c r="K157" s="7" t="s">
        <v>23</v>
      </c>
      <c r="L157" s="7"/>
      <c r="M157" s="7" t="s">
        <v>23</v>
      </c>
      <c r="N157" s="7" t="s">
        <v>407</v>
      </c>
      <c r="O157" s="12">
        <f t="shared" si="6"/>
        <v>2</v>
      </c>
      <c r="P157" s="12">
        <f t="shared" si="7"/>
        <v>8</v>
      </c>
      <c r="Q157" s="12">
        <f t="shared" si="8"/>
        <v>1995</v>
      </c>
    </row>
    <row r="158" spans="1:17" ht="21.75" customHeight="1" x14ac:dyDescent="0.3">
      <c r="B158" s="4">
        <v>152</v>
      </c>
      <c r="C158" s="3" t="s">
        <v>408</v>
      </c>
      <c r="D158" s="20" t="s">
        <v>409</v>
      </c>
      <c r="E158" s="7" t="s">
        <v>19</v>
      </c>
      <c r="F158" s="7" t="s">
        <v>38</v>
      </c>
      <c r="G158" s="10" t="s">
        <v>410</v>
      </c>
      <c r="H158" s="7"/>
      <c r="I158" s="7"/>
      <c r="J158" s="7"/>
      <c r="K158" s="7" t="s">
        <v>23</v>
      </c>
      <c r="L158" s="7"/>
      <c r="M158" s="7" t="s">
        <v>23</v>
      </c>
      <c r="N158" s="7" t="s">
        <v>407</v>
      </c>
      <c r="O158" s="12">
        <f t="shared" si="6"/>
        <v>17</v>
      </c>
      <c r="P158" s="12">
        <f t="shared" si="7"/>
        <v>5</v>
      </c>
      <c r="Q158" s="12">
        <f t="shared" si="8"/>
        <v>2003</v>
      </c>
    </row>
    <row r="159" spans="1:17" ht="21.75" customHeight="1" x14ac:dyDescent="0.3">
      <c r="B159" s="4">
        <v>153</v>
      </c>
      <c r="C159" s="3" t="s">
        <v>411</v>
      </c>
      <c r="D159" s="20" t="s">
        <v>412</v>
      </c>
      <c r="E159" s="7" t="s">
        <v>19</v>
      </c>
      <c r="F159" s="7" t="s">
        <v>38</v>
      </c>
      <c r="G159" s="10" t="s">
        <v>413</v>
      </c>
      <c r="H159" s="7"/>
      <c r="I159" s="7"/>
      <c r="J159" s="7"/>
      <c r="K159" s="7" t="s">
        <v>23</v>
      </c>
      <c r="L159" s="7"/>
      <c r="M159" s="7" t="s">
        <v>23</v>
      </c>
      <c r="N159" s="7" t="s">
        <v>33</v>
      </c>
      <c r="O159" s="12">
        <f t="shared" si="6"/>
        <v>22</v>
      </c>
      <c r="P159" s="12">
        <f t="shared" si="7"/>
        <v>7</v>
      </c>
      <c r="Q159" s="12">
        <f t="shared" si="8"/>
        <v>2005</v>
      </c>
    </row>
    <row r="160" spans="1:17" s="12" customFormat="1" ht="21.75" customHeight="1" x14ac:dyDescent="0.3">
      <c r="A160" s="18">
        <v>42</v>
      </c>
      <c r="B160" s="13">
        <v>154</v>
      </c>
      <c r="C160" s="14" t="s">
        <v>414</v>
      </c>
      <c r="D160" s="19" t="s">
        <v>415</v>
      </c>
      <c r="E160" s="16" t="s">
        <v>17</v>
      </c>
      <c r="F160" s="16" t="s">
        <v>38</v>
      </c>
      <c r="G160" s="15" t="s">
        <v>416</v>
      </c>
      <c r="H160" s="16" t="s">
        <v>23</v>
      </c>
      <c r="I160" s="16" t="s">
        <v>23</v>
      </c>
      <c r="J160" s="16" t="s">
        <v>23</v>
      </c>
      <c r="K160" s="16" t="s">
        <v>23</v>
      </c>
      <c r="L160" s="16" t="s">
        <v>23</v>
      </c>
      <c r="M160" s="16" t="s">
        <v>23</v>
      </c>
      <c r="N160" s="16" t="s">
        <v>24</v>
      </c>
      <c r="O160" s="12">
        <f t="shared" si="6"/>
        <v>19</v>
      </c>
      <c r="P160" s="12">
        <f t="shared" si="7"/>
        <v>6</v>
      </c>
      <c r="Q160" s="12">
        <f t="shared" si="8"/>
        <v>1962</v>
      </c>
    </row>
    <row r="161" spans="1:17" ht="21.75" customHeight="1" x14ac:dyDescent="0.3">
      <c r="B161" s="4">
        <v>155</v>
      </c>
      <c r="C161" s="3" t="s">
        <v>417</v>
      </c>
      <c r="D161" s="20" t="s">
        <v>418</v>
      </c>
      <c r="E161" s="7" t="s">
        <v>18</v>
      </c>
      <c r="F161" s="7" t="s">
        <v>38</v>
      </c>
      <c r="G161" s="10" t="s">
        <v>419</v>
      </c>
      <c r="H161" s="7"/>
      <c r="I161" s="7"/>
      <c r="J161" s="7"/>
      <c r="K161" s="7" t="s">
        <v>23</v>
      </c>
      <c r="L161" s="7"/>
      <c r="M161" s="7" t="s">
        <v>23</v>
      </c>
      <c r="N161" s="7" t="s">
        <v>33</v>
      </c>
      <c r="O161" s="12">
        <f t="shared" si="6"/>
        <v>10</v>
      </c>
      <c r="P161" s="12">
        <f t="shared" si="7"/>
        <v>10</v>
      </c>
      <c r="Q161" s="12">
        <f t="shared" si="8"/>
        <v>1968</v>
      </c>
    </row>
    <row r="162" spans="1:17" ht="21.75" customHeight="1" x14ac:dyDescent="0.3">
      <c r="B162" s="4">
        <v>156</v>
      </c>
      <c r="C162" s="3" t="s">
        <v>420</v>
      </c>
      <c r="D162" s="20" t="s">
        <v>421</v>
      </c>
      <c r="E162" s="7" t="s">
        <v>19</v>
      </c>
      <c r="F162" s="7" t="s">
        <v>38</v>
      </c>
      <c r="G162" s="10" t="s">
        <v>422</v>
      </c>
      <c r="H162" s="7"/>
      <c r="I162" s="7"/>
      <c r="J162" s="7"/>
      <c r="K162" s="7" t="s">
        <v>23</v>
      </c>
      <c r="L162" s="7"/>
      <c r="M162" s="7" t="s">
        <v>23</v>
      </c>
      <c r="N162" s="7" t="s">
        <v>30</v>
      </c>
      <c r="O162" s="12"/>
      <c r="P162" s="12"/>
      <c r="Q162" s="12">
        <v>1993</v>
      </c>
    </row>
    <row r="163" spans="1:17" ht="21.75" customHeight="1" x14ac:dyDescent="0.3">
      <c r="B163" s="4">
        <v>157</v>
      </c>
      <c r="C163" s="3" t="s">
        <v>423</v>
      </c>
      <c r="D163" s="20" t="s">
        <v>424</v>
      </c>
      <c r="E163" s="7" t="s">
        <v>19</v>
      </c>
      <c r="F163" s="7" t="s">
        <v>38</v>
      </c>
      <c r="G163" s="10" t="s">
        <v>425</v>
      </c>
      <c r="H163" s="7"/>
      <c r="I163" s="7"/>
      <c r="J163" s="7"/>
      <c r="K163" s="7" t="s">
        <v>23</v>
      </c>
      <c r="L163" s="7"/>
      <c r="M163" s="7" t="s">
        <v>23</v>
      </c>
      <c r="N163" s="7" t="s">
        <v>30</v>
      </c>
      <c r="O163" s="12">
        <f t="shared" si="6"/>
        <v>9</v>
      </c>
      <c r="P163" s="12">
        <f t="shared" si="7"/>
        <v>5</v>
      </c>
      <c r="Q163" s="12">
        <f t="shared" si="8"/>
        <v>1996</v>
      </c>
    </row>
    <row r="164" spans="1:17" ht="21.75" customHeight="1" x14ac:dyDescent="0.3">
      <c r="B164" s="4">
        <v>158</v>
      </c>
      <c r="C164" s="3" t="s">
        <v>426</v>
      </c>
      <c r="D164" s="20" t="s">
        <v>427</v>
      </c>
      <c r="E164" s="7" t="s">
        <v>21</v>
      </c>
      <c r="F164" s="7" t="s">
        <v>38</v>
      </c>
      <c r="G164" s="10" t="s">
        <v>428</v>
      </c>
      <c r="H164" s="7"/>
      <c r="I164" s="7"/>
      <c r="J164" s="7"/>
      <c r="K164" s="7" t="s">
        <v>23</v>
      </c>
      <c r="L164" s="7"/>
      <c r="M164" s="7" t="s">
        <v>23</v>
      </c>
      <c r="N164" s="7" t="s">
        <v>429</v>
      </c>
      <c r="O164" s="12">
        <f t="shared" si="6"/>
        <v>22</v>
      </c>
      <c r="P164" s="12">
        <f t="shared" si="7"/>
        <v>6</v>
      </c>
      <c r="Q164" s="12">
        <f t="shared" si="8"/>
        <v>1997</v>
      </c>
    </row>
    <row r="165" spans="1:17" s="12" customFormat="1" ht="21.75" customHeight="1" x14ac:dyDescent="0.3">
      <c r="A165" s="18">
        <v>43</v>
      </c>
      <c r="B165" s="13">
        <v>159</v>
      </c>
      <c r="C165" s="14" t="s">
        <v>430</v>
      </c>
      <c r="D165" s="19" t="s">
        <v>431</v>
      </c>
      <c r="E165" s="16" t="s">
        <v>17</v>
      </c>
      <c r="F165" s="16" t="s">
        <v>38</v>
      </c>
      <c r="G165" s="15" t="s">
        <v>432</v>
      </c>
      <c r="H165" s="16" t="s">
        <v>23</v>
      </c>
      <c r="I165" s="16" t="s">
        <v>23</v>
      </c>
      <c r="J165" s="16" t="s">
        <v>23</v>
      </c>
      <c r="K165" s="16" t="s">
        <v>23</v>
      </c>
      <c r="L165" s="16" t="s">
        <v>23</v>
      </c>
      <c r="M165" s="16" t="s">
        <v>23</v>
      </c>
      <c r="N165" s="16" t="s">
        <v>42</v>
      </c>
      <c r="O165" s="12">
        <f t="shared" si="6"/>
        <v>12</v>
      </c>
      <c r="P165" s="12">
        <f t="shared" si="7"/>
        <v>5</v>
      </c>
      <c r="Q165" s="12">
        <f t="shared" si="8"/>
        <v>1978</v>
      </c>
    </row>
    <row r="166" spans="1:17" ht="21.75" customHeight="1" x14ac:dyDescent="0.3">
      <c r="B166" s="4">
        <v>160</v>
      </c>
      <c r="C166" s="3" t="s">
        <v>433</v>
      </c>
      <c r="D166" s="20" t="s">
        <v>434</v>
      </c>
      <c r="E166" s="7" t="s">
        <v>20</v>
      </c>
      <c r="F166" s="7" t="s">
        <v>38</v>
      </c>
      <c r="G166" s="10" t="s">
        <v>435</v>
      </c>
      <c r="H166" s="7"/>
      <c r="I166" s="7"/>
      <c r="J166" s="7"/>
      <c r="K166" s="7" t="s">
        <v>23</v>
      </c>
      <c r="L166" s="7"/>
      <c r="M166" s="7" t="s">
        <v>23</v>
      </c>
      <c r="N166" s="7" t="s">
        <v>24</v>
      </c>
      <c r="O166" s="12">
        <f t="shared" si="6"/>
        <v>4</v>
      </c>
      <c r="P166" s="12">
        <f t="shared" si="7"/>
        <v>4</v>
      </c>
      <c r="Q166" s="12">
        <f t="shared" si="8"/>
        <v>1973</v>
      </c>
    </row>
    <row r="167" spans="1:17" ht="21.75" customHeight="1" x14ac:dyDescent="0.3">
      <c r="B167" s="4">
        <v>161</v>
      </c>
      <c r="C167" s="3" t="s">
        <v>436</v>
      </c>
      <c r="D167" s="20" t="s">
        <v>437</v>
      </c>
      <c r="E167" s="7" t="s">
        <v>19</v>
      </c>
      <c r="F167" s="7" t="s">
        <v>38</v>
      </c>
      <c r="G167" s="10"/>
      <c r="H167" s="7"/>
      <c r="I167" s="7"/>
      <c r="J167" s="7"/>
      <c r="K167" s="7"/>
      <c r="L167" s="7"/>
      <c r="M167" s="7"/>
      <c r="N167" s="7"/>
      <c r="O167" s="12">
        <f t="shared" si="6"/>
        <v>5</v>
      </c>
      <c r="P167" s="12">
        <f t="shared" si="7"/>
        <v>12</v>
      </c>
      <c r="Q167" s="12">
        <f t="shared" si="8"/>
        <v>2011</v>
      </c>
    </row>
    <row r="168" spans="1:17" s="12" customFormat="1" ht="21.75" customHeight="1" x14ac:dyDescent="0.3">
      <c r="A168" s="18">
        <v>44</v>
      </c>
      <c r="B168" s="13">
        <v>162</v>
      </c>
      <c r="C168" s="14" t="s">
        <v>438</v>
      </c>
      <c r="D168" s="19" t="s">
        <v>439</v>
      </c>
      <c r="E168" s="16" t="s">
        <v>17</v>
      </c>
      <c r="F168" s="16" t="s">
        <v>38</v>
      </c>
      <c r="G168" s="15" t="s">
        <v>440</v>
      </c>
      <c r="H168" s="16" t="s">
        <v>23</v>
      </c>
      <c r="I168" s="16" t="s">
        <v>23</v>
      </c>
      <c r="J168" s="16" t="s">
        <v>23</v>
      </c>
      <c r="K168" s="16" t="s">
        <v>23</v>
      </c>
      <c r="L168" s="16" t="s">
        <v>23</v>
      </c>
      <c r="M168" s="16" t="s">
        <v>23</v>
      </c>
      <c r="N168" s="16" t="s">
        <v>25</v>
      </c>
      <c r="O168" s="12">
        <f t="shared" si="6"/>
        <v>31</v>
      </c>
      <c r="P168" s="12">
        <f t="shared" si="7"/>
        <v>8</v>
      </c>
      <c r="Q168" s="12">
        <f t="shared" si="8"/>
        <v>1986</v>
      </c>
    </row>
    <row r="169" spans="1:17" ht="21.75" customHeight="1" x14ac:dyDescent="0.3">
      <c r="B169" s="4">
        <v>163</v>
      </c>
      <c r="C169" s="3" t="s">
        <v>441</v>
      </c>
      <c r="D169" s="20" t="s">
        <v>442</v>
      </c>
      <c r="E169" s="7" t="s">
        <v>18</v>
      </c>
      <c r="F169" s="7" t="s">
        <v>38</v>
      </c>
      <c r="G169" s="10" t="s">
        <v>443</v>
      </c>
      <c r="H169" s="7"/>
      <c r="I169" s="7"/>
      <c r="J169" s="7"/>
      <c r="K169" s="7" t="s">
        <v>23</v>
      </c>
      <c r="L169" s="7"/>
      <c r="M169" s="7" t="s">
        <v>23</v>
      </c>
      <c r="N169" s="7" t="s">
        <v>42</v>
      </c>
      <c r="O169" s="12">
        <f t="shared" si="6"/>
        <v>1</v>
      </c>
      <c r="P169" s="12">
        <f t="shared" si="7"/>
        <v>1</v>
      </c>
      <c r="Q169" s="12">
        <f t="shared" si="8"/>
        <v>1995</v>
      </c>
    </row>
    <row r="170" spans="1:17" ht="21.75" customHeight="1" x14ac:dyDescent="0.3">
      <c r="B170" s="4">
        <v>164</v>
      </c>
      <c r="C170" s="3" t="s">
        <v>444</v>
      </c>
      <c r="D170" s="20" t="s">
        <v>445</v>
      </c>
      <c r="E170" s="7" t="s">
        <v>19</v>
      </c>
      <c r="F170" s="7" t="s">
        <v>38</v>
      </c>
      <c r="G170" s="10" t="s">
        <v>32</v>
      </c>
      <c r="H170" s="7"/>
      <c r="I170" s="7"/>
      <c r="J170" s="7"/>
      <c r="K170" s="7"/>
      <c r="L170" s="7"/>
      <c r="M170" s="7"/>
      <c r="N170" s="7"/>
      <c r="O170" s="12">
        <f t="shared" si="6"/>
        <v>1</v>
      </c>
      <c r="P170" s="12">
        <f t="shared" si="7"/>
        <v>1</v>
      </c>
      <c r="Q170" s="12">
        <f t="shared" si="8"/>
        <v>2017</v>
      </c>
    </row>
    <row r="171" spans="1:17" ht="21.75" customHeight="1" x14ac:dyDescent="0.3">
      <c r="B171" s="4">
        <v>165</v>
      </c>
      <c r="C171" s="3" t="s">
        <v>446</v>
      </c>
      <c r="D171" s="20" t="s">
        <v>447</v>
      </c>
      <c r="E171" s="7" t="s">
        <v>19</v>
      </c>
      <c r="F171" s="7" t="s">
        <v>38</v>
      </c>
      <c r="G171" s="10"/>
      <c r="H171" s="7"/>
      <c r="I171" s="7"/>
      <c r="J171" s="7"/>
      <c r="K171" s="7"/>
      <c r="L171" s="7"/>
      <c r="M171" s="7"/>
      <c r="N171" s="7"/>
      <c r="O171" s="12">
        <f t="shared" si="6"/>
        <v>20</v>
      </c>
      <c r="P171" s="12">
        <f t="shared" si="7"/>
        <v>7</v>
      </c>
      <c r="Q171" s="12">
        <f t="shared" si="8"/>
        <v>2022</v>
      </c>
    </row>
    <row r="172" spans="1:17" s="12" customFormat="1" ht="21.75" customHeight="1" x14ac:dyDescent="0.3">
      <c r="A172" s="18">
        <v>45</v>
      </c>
      <c r="B172" s="13">
        <v>166</v>
      </c>
      <c r="C172" s="14" t="s">
        <v>448</v>
      </c>
      <c r="D172" s="19" t="s">
        <v>449</v>
      </c>
      <c r="E172" s="16" t="s">
        <v>17</v>
      </c>
      <c r="F172" s="16" t="s">
        <v>38</v>
      </c>
      <c r="G172" s="15" t="s">
        <v>450</v>
      </c>
      <c r="H172" s="16" t="s">
        <v>23</v>
      </c>
      <c r="I172" s="16" t="s">
        <v>23</v>
      </c>
      <c r="J172" s="16" t="s">
        <v>23</v>
      </c>
      <c r="K172" s="16" t="s">
        <v>23</v>
      </c>
      <c r="L172" s="16" t="s">
        <v>23</v>
      </c>
      <c r="M172" s="16" t="s">
        <v>23</v>
      </c>
      <c r="N172" s="16" t="s">
        <v>24</v>
      </c>
      <c r="O172" s="12">
        <f t="shared" si="6"/>
        <v>15</v>
      </c>
      <c r="P172" s="12">
        <f t="shared" si="7"/>
        <v>8</v>
      </c>
      <c r="Q172" s="12">
        <f t="shared" si="8"/>
        <v>1986</v>
      </c>
    </row>
    <row r="173" spans="1:17" ht="21.75" customHeight="1" x14ac:dyDescent="0.3">
      <c r="B173" s="4">
        <v>167</v>
      </c>
      <c r="C173" s="3" t="s">
        <v>451</v>
      </c>
      <c r="D173" s="20" t="s">
        <v>452</v>
      </c>
      <c r="E173" s="7" t="s">
        <v>18</v>
      </c>
      <c r="F173" s="7" t="s">
        <v>38</v>
      </c>
      <c r="G173" s="10" t="s">
        <v>453</v>
      </c>
      <c r="H173" s="7"/>
      <c r="I173" s="7"/>
      <c r="J173" s="7"/>
      <c r="K173" s="7" t="s">
        <v>23</v>
      </c>
      <c r="L173" s="7"/>
      <c r="M173" s="7" t="s">
        <v>23</v>
      </c>
      <c r="N173" s="7" t="s">
        <v>24</v>
      </c>
      <c r="O173" s="12">
        <f t="shared" si="6"/>
        <v>2</v>
      </c>
      <c r="P173" s="12">
        <f t="shared" si="7"/>
        <v>3</v>
      </c>
      <c r="Q173" s="12">
        <f t="shared" si="8"/>
        <v>1994</v>
      </c>
    </row>
    <row r="174" spans="1:17" ht="21.75" customHeight="1" x14ac:dyDescent="0.3">
      <c r="B174" s="4">
        <v>168</v>
      </c>
      <c r="C174" s="3" t="s">
        <v>268</v>
      </c>
      <c r="D174" s="20" t="s">
        <v>454</v>
      </c>
      <c r="E174" s="7" t="s">
        <v>19</v>
      </c>
      <c r="F174" s="7" t="s">
        <v>38</v>
      </c>
      <c r="G174" s="10"/>
      <c r="H174" s="7"/>
      <c r="I174" s="7"/>
      <c r="J174" s="7"/>
      <c r="K174" s="7"/>
      <c r="L174" s="7"/>
      <c r="M174" s="7"/>
      <c r="N174" s="7"/>
      <c r="O174" s="12">
        <f t="shared" si="6"/>
        <v>27</v>
      </c>
      <c r="P174" s="12">
        <f t="shared" si="7"/>
        <v>7</v>
      </c>
      <c r="Q174" s="12">
        <f t="shared" si="8"/>
        <v>2017</v>
      </c>
    </row>
    <row r="175" spans="1:17" s="12" customFormat="1" ht="21.75" customHeight="1" x14ac:dyDescent="0.3">
      <c r="A175" s="18">
        <v>46</v>
      </c>
      <c r="B175" s="13">
        <v>169</v>
      </c>
      <c r="C175" s="14" t="s">
        <v>455</v>
      </c>
      <c r="D175" s="19" t="s">
        <v>456</v>
      </c>
      <c r="E175" s="16" t="s">
        <v>17</v>
      </c>
      <c r="F175" s="16" t="s">
        <v>38</v>
      </c>
      <c r="G175" s="15" t="s">
        <v>457</v>
      </c>
      <c r="H175" s="16" t="s">
        <v>23</v>
      </c>
      <c r="I175" s="16" t="s">
        <v>23</v>
      </c>
      <c r="J175" s="16" t="s">
        <v>23</v>
      </c>
      <c r="K175" s="16"/>
      <c r="L175" s="16" t="s">
        <v>23</v>
      </c>
      <c r="M175" s="16" t="s">
        <v>23</v>
      </c>
      <c r="N175" s="16" t="s">
        <v>33</v>
      </c>
      <c r="O175" s="12">
        <f t="shared" si="6"/>
        <v>1</v>
      </c>
      <c r="P175" s="12">
        <f t="shared" si="7"/>
        <v>1</v>
      </c>
      <c r="Q175" s="12">
        <f t="shared" si="8"/>
        <v>1960</v>
      </c>
    </row>
    <row r="176" spans="1:17" ht="21.75" customHeight="1" x14ac:dyDescent="0.3">
      <c r="B176" s="4">
        <v>170</v>
      </c>
      <c r="C176" s="3" t="s">
        <v>458</v>
      </c>
      <c r="D176" s="20" t="s">
        <v>459</v>
      </c>
      <c r="E176" s="7" t="s">
        <v>18</v>
      </c>
      <c r="F176" s="7" t="s">
        <v>38</v>
      </c>
      <c r="G176" s="10" t="s">
        <v>457</v>
      </c>
      <c r="H176" s="7"/>
      <c r="I176" s="7"/>
      <c r="J176" s="7"/>
      <c r="K176" s="7" t="s">
        <v>23</v>
      </c>
      <c r="L176" s="7"/>
      <c r="M176" s="7"/>
      <c r="N176" s="7"/>
      <c r="O176" s="12">
        <f t="shared" si="6"/>
        <v>1</v>
      </c>
      <c r="P176" s="12">
        <f t="shared" si="7"/>
        <v>1</v>
      </c>
      <c r="Q176" s="12">
        <f t="shared" si="8"/>
        <v>1961</v>
      </c>
    </row>
    <row r="177" spans="1:17" ht="21.75" customHeight="1" x14ac:dyDescent="0.3">
      <c r="B177" s="4">
        <v>171</v>
      </c>
      <c r="C177" s="3" t="s">
        <v>205</v>
      </c>
      <c r="D177" s="20" t="s">
        <v>460</v>
      </c>
      <c r="E177" s="7" t="s">
        <v>19</v>
      </c>
      <c r="F177" s="7" t="s">
        <v>38</v>
      </c>
      <c r="G177" s="10" t="s">
        <v>461</v>
      </c>
      <c r="H177" s="7"/>
      <c r="I177" s="7"/>
      <c r="J177" s="7"/>
      <c r="K177" s="7" t="s">
        <v>23</v>
      </c>
      <c r="L177" s="7"/>
      <c r="M177" s="7" t="s">
        <v>23</v>
      </c>
      <c r="N177" s="7" t="s">
        <v>33</v>
      </c>
      <c r="O177" s="12">
        <f t="shared" si="6"/>
        <v>24</v>
      </c>
      <c r="P177" s="12">
        <f t="shared" si="7"/>
        <v>6</v>
      </c>
      <c r="Q177" s="12">
        <f t="shared" si="8"/>
        <v>1996</v>
      </c>
    </row>
    <row r="178" spans="1:17" ht="21.75" customHeight="1" x14ac:dyDescent="0.3">
      <c r="B178" s="4">
        <v>172</v>
      </c>
      <c r="C178" s="3" t="s">
        <v>462</v>
      </c>
      <c r="D178" s="20" t="s">
        <v>463</v>
      </c>
      <c r="E178" s="7" t="s">
        <v>19</v>
      </c>
      <c r="F178" s="7" t="s">
        <v>38</v>
      </c>
      <c r="G178" s="10" t="s">
        <v>464</v>
      </c>
      <c r="H178" s="7"/>
      <c r="I178" s="7"/>
      <c r="J178" s="7"/>
      <c r="K178" s="7" t="s">
        <v>23</v>
      </c>
      <c r="L178" s="7"/>
      <c r="M178" s="7" t="s">
        <v>23</v>
      </c>
      <c r="N178" s="7" t="s">
        <v>42</v>
      </c>
      <c r="O178" s="12">
        <f t="shared" si="6"/>
        <v>2</v>
      </c>
      <c r="P178" s="12">
        <f t="shared" si="7"/>
        <v>3</v>
      </c>
      <c r="Q178" s="12">
        <f t="shared" si="8"/>
        <v>2000</v>
      </c>
    </row>
    <row r="179" spans="1:17" s="12" customFormat="1" ht="21.75" customHeight="1" x14ac:dyDescent="0.3">
      <c r="A179" s="18">
        <v>47</v>
      </c>
      <c r="B179" s="13">
        <v>173</v>
      </c>
      <c r="C179" s="14" t="s">
        <v>465</v>
      </c>
      <c r="D179" s="19" t="s">
        <v>466</v>
      </c>
      <c r="E179" s="16" t="s">
        <v>17</v>
      </c>
      <c r="F179" s="16" t="s">
        <v>38</v>
      </c>
      <c r="G179" s="15" t="s">
        <v>467</v>
      </c>
      <c r="H179" s="16"/>
      <c r="I179" s="16"/>
      <c r="J179" s="16"/>
      <c r="K179" s="16" t="s">
        <v>23</v>
      </c>
      <c r="L179" s="16"/>
      <c r="M179" s="16" t="s">
        <v>23</v>
      </c>
      <c r="N179" s="16" t="s">
        <v>68</v>
      </c>
      <c r="O179" s="12">
        <f t="shared" si="6"/>
        <v>15</v>
      </c>
      <c r="P179" s="12">
        <f t="shared" si="7"/>
        <v>10</v>
      </c>
      <c r="Q179" s="12">
        <f t="shared" si="8"/>
        <v>1976</v>
      </c>
    </row>
    <row r="180" spans="1:17" ht="21.75" customHeight="1" x14ac:dyDescent="0.3">
      <c r="B180" s="4">
        <v>174</v>
      </c>
      <c r="C180" s="3" t="s">
        <v>468</v>
      </c>
      <c r="D180" s="20" t="s">
        <v>469</v>
      </c>
      <c r="E180" s="7" t="s">
        <v>20</v>
      </c>
      <c r="F180" s="7" t="s">
        <v>38</v>
      </c>
      <c r="G180" s="10" t="s">
        <v>470</v>
      </c>
      <c r="H180" s="7" t="s">
        <v>23</v>
      </c>
      <c r="I180" s="7" t="s">
        <v>23</v>
      </c>
      <c r="J180" s="7" t="s">
        <v>23</v>
      </c>
      <c r="K180" s="7" t="s">
        <v>23</v>
      </c>
      <c r="L180" s="7" t="s">
        <v>23</v>
      </c>
      <c r="M180" s="7" t="s">
        <v>23</v>
      </c>
      <c r="N180" s="7" t="s">
        <v>212</v>
      </c>
      <c r="O180" s="12">
        <f t="shared" si="6"/>
        <v>24</v>
      </c>
      <c r="P180" s="12">
        <f t="shared" si="7"/>
        <v>3</v>
      </c>
      <c r="Q180" s="12">
        <f t="shared" si="8"/>
        <v>1974</v>
      </c>
    </row>
    <row r="181" spans="1:17" ht="21.75" customHeight="1" x14ac:dyDescent="0.3">
      <c r="B181" s="4">
        <v>175</v>
      </c>
      <c r="C181" s="3" t="s">
        <v>471</v>
      </c>
      <c r="D181" s="20" t="s">
        <v>209</v>
      </c>
      <c r="E181" s="7" t="s">
        <v>19</v>
      </c>
      <c r="F181" s="7" t="s">
        <v>38</v>
      </c>
      <c r="G181" s="10" t="s">
        <v>472</v>
      </c>
      <c r="H181" s="7"/>
      <c r="I181" s="7"/>
      <c r="J181" s="7"/>
      <c r="K181" s="7" t="s">
        <v>23</v>
      </c>
      <c r="L181" s="7"/>
      <c r="M181" s="7" t="s">
        <v>23</v>
      </c>
      <c r="N181" s="7" t="s">
        <v>25</v>
      </c>
      <c r="O181" s="12"/>
      <c r="P181" s="12"/>
      <c r="Q181" s="12">
        <v>2004</v>
      </c>
    </row>
    <row r="182" spans="1:17" ht="21.75" customHeight="1" x14ac:dyDescent="0.3">
      <c r="B182" s="4">
        <v>176</v>
      </c>
      <c r="C182" s="3" t="s">
        <v>473</v>
      </c>
      <c r="D182" s="20" t="s">
        <v>474</v>
      </c>
      <c r="E182" s="7" t="s">
        <v>19</v>
      </c>
      <c r="F182" s="7" t="s">
        <v>38</v>
      </c>
      <c r="G182" s="10"/>
      <c r="H182" s="7"/>
      <c r="I182" s="7"/>
      <c r="J182" s="7"/>
      <c r="K182" s="7"/>
      <c r="L182" s="7"/>
      <c r="M182" s="7"/>
      <c r="N182" s="7"/>
      <c r="O182" s="12"/>
      <c r="P182" s="12"/>
      <c r="Q182" s="12">
        <v>2011</v>
      </c>
    </row>
    <row r="183" spans="1:17" s="12" customFormat="1" ht="21.75" customHeight="1" x14ac:dyDescent="0.3">
      <c r="A183" s="18">
        <v>48</v>
      </c>
      <c r="B183" s="13">
        <v>177</v>
      </c>
      <c r="C183" s="14" t="s">
        <v>210</v>
      </c>
      <c r="D183" s="19" t="s">
        <v>206</v>
      </c>
      <c r="E183" s="16" t="s">
        <v>17</v>
      </c>
      <c r="F183" s="16" t="s">
        <v>38</v>
      </c>
      <c r="G183" s="15" t="s">
        <v>211</v>
      </c>
      <c r="H183" s="16" t="s">
        <v>23</v>
      </c>
      <c r="I183" s="16" t="s">
        <v>23</v>
      </c>
      <c r="J183" s="16" t="s">
        <v>23</v>
      </c>
      <c r="K183" s="16" t="s">
        <v>23</v>
      </c>
      <c r="L183" s="16" t="s">
        <v>23</v>
      </c>
      <c r="M183" s="16" t="s">
        <v>23</v>
      </c>
      <c r="N183" s="16" t="s">
        <v>27</v>
      </c>
      <c r="O183" s="12">
        <f t="shared" si="6"/>
        <v>1</v>
      </c>
      <c r="P183" s="12">
        <f t="shared" si="7"/>
        <v>1</v>
      </c>
      <c r="Q183" s="12">
        <f t="shared" si="8"/>
        <v>1980</v>
      </c>
    </row>
    <row r="184" spans="1:17" ht="21.75" customHeight="1" x14ac:dyDescent="0.3">
      <c r="B184" s="4">
        <v>178</v>
      </c>
      <c r="C184" s="3" t="s">
        <v>213</v>
      </c>
      <c r="D184" s="20" t="s">
        <v>475</v>
      </c>
      <c r="E184" s="7" t="s">
        <v>18</v>
      </c>
      <c r="F184" s="7" t="s">
        <v>38</v>
      </c>
      <c r="G184" s="10" t="s">
        <v>476</v>
      </c>
      <c r="H184" s="7"/>
      <c r="I184" s="7"/>
      <c r="J184" s="7"/>
      <c r="K184" s="7" t="s">
        <v>23</v>
      </c>
      <c r="L184" s="7"/>
      <c r="M184" s="7" t="s">
        <v>23</v>
      </c>
      <c r="N184" s="7" t="s">
        <v>24</v>
      </c>
      <c r="O184" s="12">
        <f t="shared" si="6"/>
        <v>3</v>
      </c>
      <c r="P184" s="12">
        <f t="shared" si="7"/>
        <v>2</v>
      </c>
      <c r="Q184" s="12">
        <f t="shared" si="8"/>
        <v>1982</v>
      </c>
    </row>
    <row r="185" spans="1:17" ht="21.75" customHeight="1" x14ac:dyDescent="0.3">
      <c r="B185" s="4">
        <v>179</v>
      </c>
      <c r="C185" s="3" t="s">
        <v>216</v>
      </c>
      <c r="D185" s="20" t="s">
        <v>477</v>
      </c>
      <c r="E185" s="7" t="s">
        <v>19</v>
      </c>
      <c r="F185" s="7" t="s">
        <v>38</v>
      </c>
      <c r="G185" s="10"/>
      <c r="H185" s="7"/>
      <c r="I185" s="7"/>
      <c r="J185" s="7"/>
      <c r="K185" s="7"/>
      <c r="L185" s="7"/>
      <c r="M185" s="7"/>
      <c r="N185" s="7"/>
      <c r="O185" s="12">
        <f t="shared" si="6"/>
        <v>17</v>
      </c>
      <c r="P185" s="12">
        <f t="shared" si="7"/>
        <v>5</v>
      </c>
      <c r="Q185" s="12">
        <f t="shared" si="8"/>
        <v>2011</v>
      </c>
    </row>
    <row r="186" spans="1:17" ht="21.75" customHeight="1" x14ac:dyDescent="0.3">
      <c r="B186" s="4">
        <v>180</v>
      </c>
      <c r="C186" s="3" t="s">
        <v>218</v>
      </c>
      <c r="D186" s="20" t="s">
        <v>478</v>
      </c>
      <c r="E186" s="7" t="s">
        <v>19</v>
      </c>
      <c r="F186" s="7" t="s">
        <v>38</v>
      </c>
      <c r="G186" s="10"/>
      <c r="H186" s="7"/>
      <c r="I186" s="7"/>
      <c r="J186" s="7"/>
      <c r="K186" s="7"/>
      <c r="L186" s="7"/>
      <c r="M186" s="7"/>
      <c r="N186" s="7"/>
      <c r="O186" s="12">
        <f t="shared" si="6"/>
        <v>26</v>
      </c>
      <c r="P186" s="12">
        <f t="shared" si="7"/>
        <v>6</v>
      </c>
      <c r="Q186" s="12">
        <f t="shared" si="8"/>
        <v>2013</v>
      </c>
    </row>
    <row r="187" spans="1:17" s="12" customFormat="1" ht="21.75" customHeight="1" x14ac:dyDescent="0.3">
      <c r="A187" s="18">
        <v>49</v>
      </c>
      <c r="B187" s="13">
        <v>181</v>
      </c>
      <c r="C187" s="14" t="s">
        <v>479</v>
      </c>
      <c r="D187" s="19" t="s">
        <v>480</v>
      </c>
      <c r="E187" s="16" t="s">
        <v>17</v>
      </c>
      <c r="F187" s="16" t="s">
        <v>38</v>
      </c>
      <c r="G187" s="15" t="s">
        <v>481</v>
      </c>
      <c r="H187" s="16" t="s">
        <v>23</v>
      </c>
      <c r="I187" s="16" t="s">
        <v>23</v>
      </c>
      <c r="J187" s="16" t="s">
        <v>23</v>
      </c>
      <c r="K187" s="16"/>
      <c r="L187" s="16" t="s">
        <v>23</v>
      </c>
      <c r="M187" s="16" t="s">
        <v>23</v>
      </c>
      <c r="N187" s="16" t="s">
        <v>24</v>
      </c>
      <c r="O187" s="12">
        <f t="shared" si="6"/>
        <v>2</v>
      </c>
      <c r="P187" s="12">
        <f t="shared" si="7"/>
        <v>5</v>
      </c>
      <c r="Q187" s="12">
        <f t="shared" si="8"/>
        <v>1958</v>
      </c>
    </row>
    <row r="188" spans="1:17" ht="21.75" customHeight="1" x14ac:dyDescent="0.3">
      <c r="B188" s="4">
        <v>182</v>
      </c>
      <c r="C188" s="3" t="s">
        <v>482</v>
      </c>
      <c r="D188" s="20" t="s">
        <v>483</v>
      </c>
      <c r="E188" s="7" t="s">
        <v>18</v>
      </c>
      <c r="F188" s="7" t="s">
        <v>38</v>
      </c>
      <c r="G188" s="10" t="s">
        <v>484</v>
      </c>
      <c r="H188" s="7"/>
      <c r="I188" s="7"/>
      <c r="J188" s="7"/>
      <c r="K188" s="7" t="s">
        <v>23</v>
      </c>
      <c r="L188" s="7"/>
      <c r="M188" s="7" t="s">
        <v>23</v>
      </c>
      <c r="N188" s="7" t="s">
        <v>42</v>
      </c>
      <c r="O188" s="12">
        <f t="shared" si="6"/>
        <v>6</v>
      </c>
      <c r="P188" s="12">
        <f t="shared" si="7"/>
        <v>1</v>
      </c>
      <c r="Q188" s="12">
        <f t="shared" si="8"/>
        <v>1964</v>
      </c>
    </row>
    <row r="189" spans="1:17" ht="21.75" customHeight="1" x14ac:dyDescent="0.3">
      <c r="B189" s="4">
        <v>183</v>
      </c>
      <c r="C189" s="3" t="s">
        <v>58</v>
      </c>
      <c r="D189" s="20" t="s">
        <v>485</v>
      </c>
      <c r="E189" s="7" t="s">
        <v>19</v>
      </c>
      <c r="F189" s="7" t="s">
        <v>38</v>
      </c>
      <c r="G189" s="10" t="s">
        <v>486</v>
      </c>
      <c r="H189" s="7"/>
      <c r="I189" s="7"/>
      <c r="J189" s="7"/>
      <c r="K189" s="7" t="s">
        <v>23</v>
      </c>
      <c r="L189" s="7"/>
      <c r="M189" s="7" t="s">
        <v>23</v>
      </c>
      <c r="N189" s="7" t="s">
        <v>27</v>
      </c>
      <c r="O189" s="12">
        <f t="shared" si="6"/>
        <v>1</v>
      </c>
      <c r="P189" s="12">
        <f t="shared" si="7"/>
        <v>5</v>
      </c>
      <c r="Q189" s="12">
        <f t="shared" si="8"/>
        <v>1988</v>
      </c>
    </row>
    <row r="190" spans="1:17" ht="21.75" customHeight="1" x14ac:dyDescent="0.3">
      <c r="B190" s="4">
        <v>184</v>
      </c>
      <c r="C190" s="3" t="s">
        <v>487</v>
      </c>
      <c r="D190" s="20" t="s">
        <v>35</v>
      </c>
      <c r="E190" s="7" t="s">
        <v>19</v>
      </c>
      <c r="F190" s="7" t="s">
        <v>38</v>
      </c>
      <c r="G190" s="10" t="s">
        <v>488</v>
      </c>
      <c r="H190" s="7"/>
      <c r="I190" s="7"/>
      <c r="J190" s="7"/>
      <c r="K190" s="7" t="s">
        <v>23</v>
      </c>
      <c r="L190" s="7"/>
      <c r="M190" s="7" t="s">
        <v>23</v>
      </c>
      <c r="N190" s="7" t="s">
        <v>489</v>
      </c>
      <c r="O190" s="12"/>
      <c r="P190" s="12"/>
      <c r="Q190" s="12">
        <v>1996</v>
      </c>
    </row>
    <row r="191" spans="1:17" s="12" customFormat="1" ht="21.75" customHeight="1" x14ac:dyDescent="0.3">
      <c r="A191" s="18">
        <v>50</v>
      </c>
      <c r="B191" s="13">
        <v>185</v>
      </c>
      <c r="C191" s="14" t="s">
        <v>490</v>
      </c>
      <c r="D191" s="19" t="s">
        <v>491</v>
      </c>
      <c r="E191" s="16" t="s">
        <v>17</v>
      </c>
      <c r="F191" s="16" t="s">
        <v>38</v>
      </c>
      <c r="G191" s="15" t="s">
        <v>492</v>
      </c>
      <c r="H191" s="16" t="s">
        <v>23</v>
      </c>
      <c r="I191" s="16" t="s">
        <v>23</v>
      </c>
      <c r="J191" s="16" t="s">
        <v>23</v>
      </c>
      <c r="K191" s="16" t="s">
        <v>23</v>
      </c>
      <c r="L191" s="16" t="s">
        <v>23</v>
      </c>
      <c r="M191" s="16" t="s">
        <v>23</v>
      </c>
      <c r="N191" s="16" t="s">
        <v>24</v>
      </c>
      <c r="O191" s="12">
        <f t="shared" si="6"/>
        <v>16</v>
      </c>
      <c r="P191" s="12">
        <f t="shared" si="7"/>
        <v>2</v>
      </c>
      <c r="Q191" s="12">
        <f t="shared" si="8"/>
        <v>1970</v>
      </c>
    </row>
    <row r="192" spans="1:17" ht="21.75" customHeight="1" x14ac:dyDescent="0.3">
      <c r="B192" s="4">
        <v>186</v>
      </c>
      <c r="C192" s="3" t="s">
        <v>493</v>
      </c>
      <c r="D192" s="20" t="s">
        <v>494</v>
      </c>
      <c r="E192" s="7" t="s">
        <v>19</v>
      </c>
      <c r="F192" s="7" t="s">
        <v>38</v>
      </c>
      <c r="G192" s="10" t="s">
        <v>495</v>
      </c>
      <c r="H192" s="7"/>
      <c r="I192" s="7"/>
      <c r="J192" s="7"/>
      <c r="K192" s="7" t="s">
        <v>23</v>
      </c>
      <c r="L192" s="7"/>
      <c r="M192" s="7" t="s">
        <v>23</v>
      </c>
      <c r="N192" s="7" t="s">
        <v>25</v>
      </c>
      <c r="O192" s="12">
        <f t="shared" si="6"/>
        <v>16</v>
      </c>
      <c r="P192" s="12">
        <f t="shared" si="7"/>
        <v>1</v>
      </c>
      <c r="Q192" s="12">
        <f t="shared" si="8"/>
        <v>1992</v>
      </c>
    </row>
    <row r="193" spans="1:17" ht="21.75" customHeight="1" x14ac:dyDescent="0.3">
      <c r="B193" s="4">
        <v>187</v>
      </c>
      <c r="C193" s="3" t="s">
        <v>496</v>
      </c>
      <c r="D193" s="20" t="s">
        <v>497</v>
      </c>
      <c r="E193" s="7" t="s">
        <v>21</v>
      </c>
      <c r="F193" s="7" t="s">
        <v>38</v>
      </c>
      <c r="G193" s="10" t="s">
        <v>498</v>
      </c>
      <c r="H193" s="7"/>
      <c r="I193" s="7"/>
      <c r="J193" s="7"/>
      <c r="K193" s="7" t="s">
        <v>23</v>
      </c>
      <c r="L193" s="7"/>
      <c r="M193" s="7" t="s">
        <v>23</v>
      </c>
      <c r="N193" s="7" t="s">
        <v>24</v>
      </c>
      <c r="O193" s="12">
        <f t="shared" si="6"/>
        <v>5</v>
      </c>
      <c r="P193" s="12">
        <f t="shared" si="7"/>
        <v>10</v>
      </c>
      <c r="Q193" s="12">
        <f t="shared" si="8"/>
        <v>1987</v>
      </c>
    </row>
    <row r="194" spans="1:17" ht="21.75" customHeight="1" x14ac:dyDescent="0.3">
      <c r="B194" s="4">
        <v>188</v>
      </c>
      <c r="C194" s="3" t="s">
        <v>499</v>
      </c>
      <c r="D194" s="20" t="s">
        <v>500</v>
      </c>
      <c r="E194" s="7" t="s">
        <v>22</v>
      </c>
      <c r="F194" s="7" t="s">
        <v>38</v>
      </c>
      <c r="G194" s="10"/>
      <c r="H194" s="7"/>
      <c r="I194" s="7"/>
      <c r="J194" s="7"/>
      <c r="K194" s="7"/>
      <c r="L194" s="7"/>
      <c r="M194" s="7"/>
      <c r="N194" s="7"/>
      <c r="O194" s="12">
        <f t="shared" si="6"/>
        <v>4</v>
      </c>
      <c r="P194" s="12">
        <f t="shared" si="7"/>
        <v>7</v>
      </c>
      <c r="Q194" s="12">
        <f t="shared" si="8"/>
        <v>2013</v>
      </c>
    </row>
    <row r="195" spans="1:17" ht="21.75" customHeight="1" x14ac:dyDescent="0.3">
      <c r="B195" s="4">
        <v>189</v>
      </c>
      <c r="C195" s="3" t="s">
        <v>501</v>
      </c>
      <c r="D195" s="20" t="s">
        <v>502</v>
      </c>
      <c r="E195" s="7" t="s">
        <v>22</v>
      </c>
      <c r="F195" s="7" t="s">
        <v>38</v>
      </c>
      <c r="G195" s="10"/>
      <c r="H195" s="7"/>
      <c r="I195" s="7"/>
      <c r="J195" s="7"/>
      <c r="K195" s="7"/>
      <c r="L195" s="7"/>
      <c r="M195" s="7"/>
      <c r="N195" s="7"/>
      <c r="O195" s="12">
        <f t="shared" si="6"/>
        <v>4</v>
      </c>
      <c r="P195" s="12">
        <f t="shared" si="7"/>
        <v>2</v>
      </c>
      <c r="Q195" s="12">
        <f t="shared" si="8"/>
        <v>2020</v>
      </c>
    </row>
    <row r="196" spans="1:17" s="12" customFormat="1" ht="21.75" customHeight="1" x14ac:dyDescent="0.3">
      <c r="A196" s="18">
        <v>51</v>
      </c>
      <c r="B196" s="13">
        <v>190</v>
      </c>
      <c r="C196" s="14" t="s">
        <v>503</v>
      </c>
      <c r="D196" s="19" t="s">
        <v>351</v>
      </c>
      <c r="E196" s="16" t="s">
        <v>17</v>
      </c>
      <c r="F196" s="16" t="s">
        <v>38</v>
      </c>
      <c r="G196" s="15" t="s">
        <v>504</v>
      </c>
      <c r="H196" s="16" t="s">
        <v>23</v>
      </c>
      <c r="I196" s="16" t="s">
        <v>23</v>
      </c>
      <c r="J196" s="16" t="s">
        <v>23</v>
      </c>
      <c r="K196" s="16" t="s">
        <v>23</v>
      </c>
      <c r="L196" s="16" t="s">
        <v>23</v>
      </c>
      <c r="M196" s="16" t="s">
        <v>23</v>
      </c>
      <c r="N196" s="16" t="s">
        <v>42</v>
      </c>
      <c r="O196" s="12">
        <f t="shared" si="6"/>
        <v>1</v>
      </c>
      <c r="P196" s="12">
        <f t="shared" si="7"/>
        <v>1</v>
      </c>
      <c r="Q196" s="12">
        <f t="shared" si="8"/>
        <v>1956</v>
      </c>
    </row>
    <row r="197" spans="1:17" ht="21.75" customHeight="1" x14ac:dyDescent="0.3">
      <c r="B197" s="4">
        <v>191</v>
      </c>
      <c r="C197" s="3" t="s">
        <v>505</v>
      </c>
      <c r="D197" s="20" t="s">
        <v>506</v>
      </c>
      <c r="E197" s="7" t="s">
        <v>18</v>
      </c>
      <c r="F197" s="7" t="s">
        <v>38</v>
      </c>
      <c r="G197" s="10" t="s">
        <v>504</v>
      </c>
      <c r="H197" s="7"/>
      <c r="I197" s="7"/>
      <c r="J197" s="7"/>
      <c r="K197" s="7"/>
      <c r="L197" s="7"/>
      <c r="M197" s="7"/>
      <c r="N197" s="7"/>
      <c r="O197" s="12">
        <f t="shared" si="6"/>
        <v>1</v>
      </c>
      <c r="P197" s="12">
        <f t="shared" si="7"/>
        <v>1</v>
      </c>
      <c r="Q197" s="12">
        <f t="shared" si="8"/>
        <v>1957</v>
      </c>
    </row>
    <row r="198" spans="1:17" s="12" customFormat="1" ht="21.75" customHeight="1" x14ac:dyDescent="0.3">
      <c r="A198" s="18">
        <v>52</v>
      </c>
      <c r="B198" s="13">
        <v>192</v>
      </c>
      <c r="C198" s="14" t="s">
        <v>507</v>
      </c>
      <c r="D198" s="19" t="s">
        <v>508</v>
      </c>
      <c r="E198" s="16" t="s">
        <v>17</v>
      </c>
      <c r="F198" s="16" t="s">
        <v>38</v>
      </c>
      <c r="G198" s="15" t="s">
        <v>509</v>
      </c>
      <c r="H198" s="16" t="s">
        <v>23</v>
      </c>
      <c r="I198" s="16" t="s">
        <v>23</v>
      </c>
      <c r="J198" s="16" t="s">
        <v>23</v>
      </c>
      <c r="K198" s="16" t="s">
        <v>23</v>
      </c>
      <c r="L198" s="16" t="s">
        <v>23</v>
      </c>
      <c r="M198" s="16" t="s">
        <v>23</v>
      </c>
      <c r="N198" s="16" t="s">
        <v>24</v>
      </c>
      <c r="O198" s="12">
        <f t="shared" si="6"/>
        <v>11</v>
      </c>
      <c r="P198" s="12">
        <f t="shared" si="7"/>
        <v>1</v>
      </c>
      <c r="Q198" s="12">
        <f t="shared" si="8"/>
        <v>1980</v>
      </c>
    </row>
    <row r="199" spans="1:17" ht="21.75" customHeight="1" x14ac:dyDescent="0.3">
      <c r="B199" s="4">
        <v>193</v>
      </c>
      <c r="C199" s="3" t="s">
        <v>510</v>
      </c>
      <c r="D199" s="20" t="s">
        <v>511</v>
      </c>
      <c r="E199" s="7" t="s">
        <v>18</v>
      </c>
      <c r="F199" s="7" t="s">
        <v>38</v>
      </c>
      <c r="G199" s="10" t="s">
        <v>512</v>
      </c>
      <c r="H199" s="7"/>
      <c r="I199" s="7"/>
      <c r="J199" s="7"/>
      <c r="K199" s="7" t="s">
        <v>23</v>
      </c>
      <c r="L199" s="7"/>
      <c r="M199" s="7" t="s">
        <v>23</v>
      </c>
      <c r="N199" s="7" t="s">
        <v>24</v>
      </c>
      <c r="O199" s="12">
        <f t="shared" si="6"/>
        <v>5</v>
      </c>
      <c r="P199" s="12">
        <f t="shared" si="7"/>
        <v>10</v>
      </c>
      <c r="Q199" s="12">
        <f t="shared" si="8"/>
        <v>1981</v>
      </c>
    </row>
    <row r="200" spans="1:17" ht="21.75" customHeight="1" x14ac:dyDescent="0.3">
      <c r="B200" s="4">
        <v>194</v>
      </c>
      <c r="C200" s="3" t="s">
        <v>513</v>
      </c>
      <c r="D200" s="20" t="s">
        <v>514</v>
      </c>
      <c r="E200" s="7" t="s">
        <v>19</v>
      </c>
      <c r="F200" s="7" t="s">
        <v>38</v>
      </c>
      <c r="G200" s="10" t="s">
        <v>515</v>
      </c>
      <c r="H200" s="7"/>
      <c r="I200" s="7"/>
      <c r="J200" s="7"/>
      <c r="K200" s="7" t="s">
        <v>23</v>
      </c>
      <c r="L200" s="7"/>
      <c r="M200" s="7" t="s">
        <v>23</v>
      </c>
      <c r="N200" s="7" t="s">
        <v>42</v>
      </c>
      <c r="O200" s="12">
        <f t="shared" ref="O200:O263" si="9">DAY(D200)</f>
        <v>27</v>
      </c>
      <c r="P200" s="12">
        <f t="shared" ref="P200:P263" si="10">MONTH(D200)</f>
        <v>4</v>
      </c>
      <c r="Q200" s="12">
        <f t="shared" ref="Q200:Q263" si="11">YEAR(D200)</f>
        <v>2004</v>
      </c>
    </row>
    <row r="201" spans="1:17" ht="21.75" customHeight="1" x14ac:dyDescent="0.3">
      <c r="B201" s="4">
        <v>195</v>
      </c>
      <c r="C201" s="3" t="s">
        <v>516</v>
      </c>
      <c r="D201" s="20" t="s">
        <v>517</v>
      </c>
      <c r="E201" s="7" t="s">
        <v>19</v>
      </c>
      <c r="F201" s="7" t="s">
        <v>38</v>
      </c>
      <c r="G201" s="10" t="s">
        <v>518</v>
      </c>
      <c r="H201" s="7"/>
      <c r="I201" s="7"/>
      <c r="J201" s="7"/>
      <c r="K201" s="7" t="s">
        <v>23</v>
      </c>
      <c r="L201" s="7"/>
      <c r="M201" s="7" t="s">
        <v>23</v>
      </c>
      <c r="N201" s="7" t="s">
        <v>42</v>
      </c>
      <c r="O201" s="12">
        <f t="shared" si="9"/>
        <v>3</v>
      </c>
      <c r="P201" s="12">
        <f t="shared" si="10"/>
        <v>1</v>
      </c>
      <c r="Q201" s="12">
        <f t="shared" si="11"/>
        <v>2006</v>
      </c>
    </row>
    <row r="202" spans="1:17" s="12" customFormat="1" ht="21.75" customHeight="1" x14ac:dyDescent="0.3">
      <c r="A202" s="18">
        <v>53</v>
      </c>
      <c r="B202" s="13">
        <v>196</v>
      </c>
      <c r="C202" s="14" t="s">
        <v>519</v>
      </c>
      <c r="D202" s="19" t="s">
        <v>506</v>
      </c>
      <c r="E202" s="16" t="s">
        <v>17</v>
      </c>
      <c r="F202" s="16" t="s">
        <v>38</v>
      </c>
      <c r="G202" s="15" t="s">
        <v>520</v>
      </c>
      <c r="H202" s="16" t="s">
        <v>23</v>
      </c>
      <c r="I202" s="16" t="s">
        <v>23</v>
      </c>
      <c r="J202" s="16" t="s">
        <v>23</v>
      </c>
      <c r="K202" s="16" t="s">
        <v>23</v>
      </c>
      <c r="L202" s="16" t="s">
        <v>23</v>
      </c>
      <c r="M202" s="16" t="s">
        <v>23</v>
      </c>
      <c r="N202" s="16" t="s">
        <v>24</v>
      </c>
      <c r="O202" s="12">
        <f t="shared" si="9"/>
        <v>1</v>
      </c>
      <c r="P202" s="12">
        <f t="shared" si="10"/>
        <v>1</v>
      </c>
      <c r="Q202" s="12">
        <f t="shared" si="11"/>
        <v>1957</v>
      </c>
    </row>
    <row r="203" spans="1:17" ht="21.75" customHeight="1" x14ac:dyDescent="0.3">
      <c r="B203" s="4">
        <v>197</v>
      </c>
      <c r="C203" s="3" t="s">
        <v>521</v>
      </c>
      <c r="D203" s="20" t="s">
        <v>522</v>
      </c>
      <c r="E203" s="7" t="s">
        <v>18</v>
      </c>
      <c r="F203" s="7" t="s">
        <v>38</v>
      </c>
      <c r="G203" s="10" t="s">
        <v>523</v>
      </c>
      <c r="H203" s="7"/>
      <c r="I203" s="7"/>
      <c r="J203" s="7"/>
      <c r="K203" s="7" t="s">
        <v>23</v>
      </c>
      <c r="L203" s="7"/>
      <c r="M203" s="7" t="s">
        <v>23</v>
      </c>
      <c r="N203" s="7" t="s">
        <v>68</v>
      </c>
      <c r="O203" s="12">
        <f t="shared" si="9"/>
        <v>15</v>
      </c>
      <c r="P203" s="12">
        <f t="shared" si="10"/>
        <v>4</v>
      </c>
      <c r="Q203" s="12">
        <f t="shared" si="11"/>
        <v>1962</v>
      </c>
    </row>
    <row r="204" spans="1:17" ht="21.75" customHeight="1" x14ac:dyDescent="0.3">
      <c r="B204" s="4">
        <v>198</v>
      </c>
      <c r="C204" s="3" t="s">
        <v>524</v>
      </c>
      <c r="D204" s="20" t="s">
        <v>525</v>
      </c>
      <c r="E204" s="7" t="s">
        <v>19</v>
      </c>
      <c r="F204" s="7" t="s">
        <v>38</v>
      </c>
      <c r="G204" s="10" t="s">
        <v>526</v>
      </c>
      <c r="H204" s="7"/>
      <c r="I204" s="7"/>
      <c r="J204" s="7"/>
      <c r="K204" s="7" t="s">
        <v>23</v>
      </c>
      <c r="L204" s="7"/>
      <c r="M204" s="7" t="s">
        <v>23</v>
      </c>
      <c r="N204" s="7" t="s">
        <v>68</v>
      </c>
      <c r="O204" s="12">
        <f t="shared" si="9"/>
        <v>12</v>
      </c>
      <c r="P204" s="12">
        <f t="shared" si="10"/>
        <v>8</v>
      </c>
      <c r="Q204" s="12">
        <f t="shared" si="11"/>
        <v>1993</v>
      </c>
    </row>
    <row r="205" spans="1:17" s="12" customFormat="1" ht="21.75" customHeight="1" x14ac:dyDescent="0.3">
      <c r="A205" s="18">
        <v>54</v>
      </c>
      <c r="B205" s="13">
        <v>199</v>
      </c>
      <c r="C205" s="14" t="s">
        <v>527</v>
      </c>
      <c r="D205" s="19" t="s">
        <v>528</v>
      </c>
      <c r="E205" s="16" t="s">
        <v>17</v>
      </c>
      <c r="F205" s="16" t="s">
        <v>38</v>
      </c>
      <c r="G205" s="15" t="s">
        <v>529</v>
      </c>
      <c r="H205" s="16" t="s">
        <v>23</v>
      </c>
      <c r="I205" s="16" t="s">
        <v>23</v>
      </c>
      <c r="J205" s="16" t="s">
        <v>23</v>
      </c>
      <c r="K205" s="16" t="s">
        <v>23</v>
      </c>
      <c r="L205" s="16" t="s">
        <v>23</v>
      </c>
      <c r="M205" s="16" t="s">
        <v>23</v>
      </c>
      <c r="N205" s="16" t="s">
        <v>138</v>
      </c>
      <c r="O205" s="12">
        <f t="shared" si="9"/>
        <v>1</v>
      </c>
      <c r="P205" s="12">
        <f t="shared" si="10"/>
        <v>1</v>
      </c>
      <c r="Q205" s="12">
        <f t="shared" si="11"/>
        <v>1978</v>
      </c>
    </row>
    <row r="206" spans="1:17" ht="21.75" customHeight="1" x14ac:dyDescent="0.3">
      <c r="B206" s="4">
        <v>200</v>
      </c>
      <c r="C206" s="3" t="s">
        <v>530</v>
      </c>
      <c r="D206" s="20" t="s">
        <v>531</v>
      </c>
      <c r="E206" s="7" t="s">
        <v>18</v>
      </c>
      <c r="F206" s="7" t="s">
        <v>38</v>
      </c>
      <c r="G206" s="10" t="s">
        <v>532</v>
      </c>
      <c r="H206" s="7"/>
      <c r="I206" s="7"/>
      <c r="J206" s="7"/>
      <c r="K206" s="7" t="s">
        <v>23</v>
      </c>
      <c r="L206" s="7"/>
      <c r="M206" s="7" t="s">
        <v>23</v>
      </c>
      <c r="N206" s="7" t="s">
        <v>138</v>
      </c>
      <c r="O206" s="12">
        <f t="shared" si="9"/>
        <v>4</v>
      </c>
      <c r="P206" s="12">
        <f t="shared" si="10"/>
        <v>1</v>
      </c>
      <c r="Q206" s="12">
        <f t="shared" si="11"/>
        <v>1981</v>
      </c>
    </row>
    <row r="207" spans="1:17" ht="21.75" customHeight="1" x14ac:dyDescent="0.3">
      <c r="B207" s="4">
        <v>201</v>
      </c>
      <c r="C207" s="3" t="s">
        <v>533</v>
      </c>
      <c r="D207" s="20" t="s">
        <v>534</v>
      </c>
      <c r="E207" s="7" t="s">
        <v>19</v>
      </c>
      <c r="F207" s="7" t="s">
        <v>38</v>
      </c>
      <c r="G207" s="10"/>
      <c r="H207" s="7"/>
      <c r="I207" s="7"/>
      <c r="J207" s="7"/>
      <c r="K207" s="7"/>
      <c r="L207" s="7"/>
      <c r="M207" s="7"/>
      <c r="N207" s="7"/>
      <c r="O207" s="12">
        <f t="shared" si="9"/>
        <v>31</v>
      </c>
      <c r="P207" s="12">
        <f t="shared" si="10"/>
        <v>10</v>
      </c>
      <c r="Q207" s="12">
        <f t="shared" si="11"/>
        <v>2010</v>
      </c>
    </row>
    <row r="208" spans="1:17" ht="21.75" customHeight="1" x14ac:dyDescent="0.3">
      <c r="B208" s="4">
        <v>202</v>
      </c>
      <c r="C208" s="3" t="s">
        <v>535</v>
      </c>
      <c r="D208" s="20" t="s">
        <v>536</v>
      </c>
      <c r="E208" s="7" t="s">
        <v>19</v>
      </c>
      <c r="F208" s="7" t="s">
        <v>38</v>
      </c>
      <c r="G208" s="10"/>
      <c r="H208" s="7"/>
      <c r="I208" s="7"/>
      <c r="J208" s="7"/>
      <c r="K208" s="7"/>
      <c r="L208" s="7"/>
      <c r="M208" s="7"/>
      <c r="N208" s="7"/>
      <c r="O208" s="12">
        <f t="shared" si="9"/>
        <v>17</v>
      </c>
      <c r="P208" s="12">
        <f t="shared" si="10"/>
        <v>4</v>
      </c>
      <c r="Q208" s="12">
        <f t="shared" si="11"/>
        <v>2014</v>
      </c>
    </row>
    <row r="209" spans="1:17" s="12" customFormat="1" ht="21.75" customHeight="1" x14ac:dyDescent="0.3">
      <c r="A209" s="18">
        <v>55</v>
      </c>
      <c r="B209" s="13">
        <v>203</v>
      </c>
      <c r="C209" s="14" t="s">
        <v>537</v>
      </c>
      <c r="D209" s="19" t="s">
        <v>225</v>
      </c>
      <c r="E209" s="16" t="s">
        <v>17</v>
      </c>
      <c r="F209" s="16" t="s">
        <v>38</v>
      </c>
      <c r="G209" s="15" t="s">
        <v>538</v>
      </c>
      <c r="H209" s="16" t="s">
        <v>23</v>
      </c>
      <c r="I209" s="16" t="s">
        <v>23</v>
      </c>
      <c r="J209" s="16" t="s">
        <v>23</v>
      </c>
      <c r="K209" s="16" t="s">
        <v>23</v>
      </c>
      <c r="L209" s="16" t="s">
        <v>23</v>
      </c>
      <c r="M209" s="16" t="s">
        <v>23</v>
      </c>
      <c r="N209" s="16" t="s">
        <v>539</v>
      </c>
      <c r="Q209" s="22" t="str">
        <f t="shared" ref="Q209:Q212" si="12">D209</f>
        <v>1981</v>
      </c>
    </row>
    <row r="210" spans="1:17" ht="21.75" customHeight="1" x14ac:dyDescent="0.3">
      <c r="B210" s="4">
        <v>204</v>
      </c>
      <c r="C210" s="3" t="s">
        <v>540</v>
      </c>
      <c r="D210" s="20" t="s">
        <v>541</v>
      </c>
      <c r="E210" s="7" t="s">
        <v>18</v>
      </c>
      <c r="F210" s="7" t="s">
        <v>38</v>
      </c>
      <c r="G210" s="10" t="s">
        <v>744</v>
      </c>
      <c r="H210" s="7"/>
      <c r="I210" s="7"/>
      <c r="J210" s="7"/>
      <c r="K210" s="7" t="s">
        <v>23</v>
      </c>
      <c r="L210" s="7"/>
      <c r="M210" s="7" t="s">
        <v>23</v>
      </c>
      <c r="N210" s="7" t="s">
        <v>68</v>
      </c>
      <c r="O210" s="12"/>
      <c r="P210" s="12"/>
      <c r="Q210" s="22" t="str">
        <f t="shared" si="12"/>
        <v>1988</v>
      </c>
    </row>
    <row r="211" spans="1:17" ht="21.75" customHeight="1" x14ac:dyDescent="0.3">
      <c r="B211" s="4">
        <v>205</v>
      </c>
      <c r="C211" s="3" t="s">
        <v>542</v>
      </c>
      <c r="D211" s="20" t="s">
        <v>543</v>
      </c>
      <c r="E211" s="7" t="s">
        <v>19</v>
      </c>
      <c r="F211" s="7" t="s">
        <v>38</v>
      </c>
      <c r="G211" s="10"/>
      <c r="H211" s="7"/>
      <c r="I211" s="7"/>
      <c r="J211" s="7"/>
      <c r="K211" s="7"/>
      <c r="L211" s="7"/>
      <c r="M211" s="7"/>
      <c r="N211" s="7"/>
      <c r="O211" s="12"/>
      <c r="P211" s="12"/>
      <c r="Q211" s="22" t="str">
        <f t="shared" si="12"/>
        <v>2017</v>
      </c>
    </row>
    <row r="212" spans="1:17" ht="21.75" customHeight="1" x14ac:dyDescent="0.3">
      <c r="B212" s="4">
        <v>206</v>
      </c>
      <c r="C212" s="3" t="s">
        <v>544</v>
      </c>
      <c r="D212" s="20" t="s">
        <v>545</v>
      </c>
      <c r="E212" s="7" t="s">
        <v>19</v>
      </c>
      <c r="F212" s="7" t="s">
        <v>38</v>
      </c>
      <c r="G212" s="10"/>
      <c r="H212" s="7"/>
      <c r="I212" s="7"/>
      <c r="J212" s="7"/>
      <c r="K212" s="7"/>
      <c r="L212" s="7"/>
      <c r="M212" s="7"/>
      <c r="N212" s="7"/>
      <c r="O212" s="12"/>
      <c r="P212" s="12"/>
      <c r="Q212" s="22" t="str">
        <f t="shared" si="12"/>
        <v>2014</v>
      </c>
    </row>
    <row r="213" spans="1:17" s="12" customFormat="1" ht="21.75" customHeight="1" x14ac:dyDescent="0.3">
      <c r="A213" s="18">
        <v>56</v>
      </c>
      <c r="B213" s="13">
        <v>207</v>
      </c>
      <c r="C213" s="14" t="s">
        <v>546</v>
      </c>
      <c r="D213" s="19" t="s">
        <v>547</v>
      </c>
      <c r="E213" s="16" t="s">
        <v>17</v>
      </c>
      <c r="F213" s="16" t="s">
        <v>38</v>
      </c>
      <c r="G213" s="15" t="s">
        <v>548</v>
      </c>
      <c r="H213" s="16" t="s">
        <v>23</v>
      </c>
      <c r="I213" s="16" t="s">
        <v>23</v>
      </c>
      <c r="J213" s="16" t="s">
        <v>23</v>
      </c>
      <c r="K213" s="16" t="s">
        <v>23</v>
      </c>
      <c r="L213" s="16" t="s">
        <v>23</v>
      </c>
      <c r="M213" s="16" t="s">
        <v>23</v>
      </c>
      <c r="N213" s="16" t="s">
        <v>42</v>
      </c>
      <c r="O213" s="12">
        <f t="shared" si="9"/>
        <v>13</v>
      </c>
      <c r="P213" s="12">
        <f t="shared" si="10"/>
        <v>2</v>
      </c>
      <c r="Q213" s="12">
        <f t="shared" si="11"/>
        <v>1987</v>
      </c>
    </row>
    <row r="214" spans="1:17" ht="21.75" customHeight="1" x14ac:dyDescent="0.3">
      <c r="B214" s="4">
        <v>208</v>
      </c>
      <c r="C214" s="3" t="s">
        <v>549</v>
      </c>
      <c r="D214" s="20" t="s">
        <v>550</v>
      </c>
      <c r="E214" s="7" t="s">
        <v>18</v>
      </c>
      <c r="F214" s="7" t="s">
        <v>38</v>
      </c>
      <c r="G214" s="10" t="s">
        <v>551</v>
      </c>
      <c r="H214" s="7"/>
      <c r="I214" s="7"/>
      <c r="J214" s="7"/>
      <c r="K214" s="7" t="s">
        <v>23</v>
      </c>
      <c r="L214" s="7"/>
      <c r="M214" s="7" t="s">
        <v>23</v>
      </c>
      <c r="N214" s="7" t="s">
        <v>42</v>
      </c>
      <c r="O214" s="12">
        <f t="shared" si="9"/>
        <v>25</v>
      </c>
      <c r="P214" s="12">
        <f t="shared" si="10"/>
        <v>5</v>
      </c>
      <c r="Q214" s="12">
        <f t="shared" si="11"/>
        <v>1986</v>
      </c>
    </row>
    <row r="215" spans="1:17" s="12" customFormat="1" ht="21.75" customHeight="1" x14ac:dyDescent="0.3">
      <c r="A215" s="18">
        <v>57</v>
      </c>
      <c r="B215" s="13">
        <v>209</v>
      </c>
      <c r="C215" s="14" t="s">
        <v>552</v>
      </c>
      <c r="D215" s="19" t="s">
        <v>553</v>
      </c>
      <c r="E215" s="16" t="s">
        <v>17</v>
      </c>
      <c r="F215" s="16" t="s">
        <v>38</v>
      </c>
      <c r="G215" s="15" t="s">
        <v>554</v>
      </c>
      <c r="H215" s="16" t="s">
        <v>23</v>
      </c>
      <c r="I215" s="16" t="s">
        <v>23</v>
      </c>
      <c r="J215" s="16" t="s">
        <v>23</v>
      </c>
      <c r="K215" s="16" t="s">
        <v>23</v>
      </c>
      <c r="L215" s="16" t="s">
        <v>23</v>
      </c>
      <c r="M215" s="16" t="s">
        <v>23</v>
      </c>
      <c r="N215" s="16" t="s">
        <v>24</v>
      </c>
      <c r="O215" s="12">
        <f t="shared" si="9"/>
        <v>17</v>
      </c>
      <c r="P215" s="12">
        <f t="shared" si="10"/>
        <v>10</v>
      </c>
      <c r="Q215" s="12">
        <f t="shared" si="11"/>
        <v>1976</v>
      </c>
    </row>
    <row r="216" spans="1:17" ht="21.75" customHeight="1" x14ac:dyDescent="0.3">
      <c r="B216" s="4">
        <v>210</v>
      </c>
      <c r="C216" s="3" t="s">
        <v>555</v>
      </c>
      <c r="D216" s="20" t="s">
        <v>556</v>
      </c>
      <c r="E216" s="7" t="s">
        <v>18</v>
      </c>
      <c r="F216" s="7" t="s">
        <v>38</v>
      </c>
      <c r="G216" s="10" t="s">
        <v>557</v>
      </c>
      <c r="H216" s="7"/>
      <c r="I216" s="7"/>
      <c r="J216" s="7"/>
      <c r="K216" s="7" t="s">
        <v>23</v>
      </c>
      <c r="L216" s="7"/>
      <c r="M216" s="7" t="s">
        <v>23</v>
      </c>
      <c r="N216" s="7" t="s">
        <v>29</v>
      </c>
      <c r="O216" s="12">
        <f t="shared" si="9"/>
        <v>20</v>
      </c>
      <c r="P216" s="12">
        <f t="shared" si="10"/>
        <v>12</v>
      </c>
      <c r="Q216" s="12">
        <f t="shared" si="11"/>
        <v>1977</v>
      </c>
    </row>
    <row r="217" spans="1:17" ht="21.75" customHeight="1" x14ac:dyDescent="0.3">
      <c r="B217" s="4">
        <v>211</v>
      </c>
      <c r="C217" s="3" t="s">
        <v>558</v>
      </c>
      <c r="D217" s="20" t="s">
        <v>559</v>
      </c>
      <c r="E217" s="7" t="s">
        <v>19</v>
      </c>
      <c r="F217" s="7" t="s">
        <v>38</v>
      </c>
      <c r="G217" s="10"/>
      <c r="H217" s="7"/>
      <c r="I217" s="7"/>
      <c r="J217" s="7"/>
      <c r="K217" s="7"/>
      <c r="L217" s="7"/>
      <c r="M217" s="7"/>
      <c r="N217" s="7"/>
      <c r="O217" s="12">
        <f t="shared" si="9"/>
        <v>5</v>
      </c>
      <c r="P217" s="12">
        <f t="shared" si="10"/>
        <v>10</v>
      </c>
      <c r="Q217" s="12">
        <f t="shared" si="11"/>
        <v>2005</v>
      </c>
    </row>
    <row r="218" spans="1:17" ht="21.75" customHeight="1" x14ac:dyDescent="0.3">
      <c r="B218" s="4">
        <v>212</v>
      </c>
      <c r="C218" s="3" t="s">
        <v>560</v>
      </c>
      <c r="D218" s="20" t="s">
        <v>561</v>
      </c>
      <c r="E218" s="7" t="s">
        <v>19</v>
      </c>
      <c r="F218" s="7" t="s">
        <v>38</v>
      </c>
      <c r="G218" s="10"/>
      <c r="H218" s="7"/>
      <c r="I218" s="7"/>
      <c r="J218" s="7"/>
      <c r="K218" s="7"/>
      <c r="L218" s="7"/>
      <c r="M218" s="7"/>
      <c r="N218" s="7"/>
      <c r="O218" s="12">
        <f t="shared" si="9"/>
        <v>18</v>
      </c>
      <c r="P218" s="12">
        <f t="shared" si="10"/>
        <v>2</v>
      </c>
      <c r="Q218" s="12">
        <f t="shared" si="11"/>
        <v>2009</v>
      </c>
    </row>
    <row r="219" spans="1:17" ht="21.75" customHeight="1" x14ac:dyDescent="0.3">
      <c r="B219" s="4">
        <v>213</v>
      </c>
      <c r="C219" s="3" t="s">
        <v>562</v>
      </c>
      <c r="D219" s="20" t="s">
        <v>563</v>
      </c>
      <c r="E219" s="7" t="s">
        <v>19</v>
      </c>
      <c r="F219" s="7" t="s">
        <v>38</v>
      </c>
      <c r="G219" s="10"/>
      <c r="H219" s="7"/>
      <c r="I219" s="7"/>
      <c r="J219" s="7"/>
      <c r="K219" s="7"/>
      <c r="L219" s="7"/>
      <c r="M219" s="7"/>
      <c r="N219" s="7"/>
      <c r="O219" s="12">
        <f t="shared" si="9"/>
        <v>13</v>
      </c>
      <c r="P219" s="12">
        <f t="shared" si="10"/>
        <v>1</v>
      </c>
      <c r="Q219" s="12">
        <f t="shared" si="11"/>
        <v>2019</v>
      </c>
    </row>
    <row r="220" spans="1:17" s="12" customFormat="1" ht="21.75" customHeight="1" x14ac:dyDescent="0.3">
      <c r="A220" s="18">
        <v>58</v>
      </c>
      <c r="B220" s="13">
        <v>214</v>
      </c>
      <c r="C220" s="14" t="s">
        <v>564</v>
      </c>
      <c r="D220" s="19" t="s">
        <v>565</v>
      </c>
      <c r="E220" s="16" t="s">
        <v>17</v>
      </c>
      <c r="F220" s="16" t="s">
        <v>38</v>
      </c>
      <c r="G220" s="15" t="s">
        <v>566</v>
      </c>
      <c r="H220" s="16" t="s">
        <v>23</v>
      </c>
      <c r="I220" s="16" t="s">
        <v>23</v>
      </c>
      <c r="J220" s="16" t="s">
        <v>23</v>
      </c>
      <c r="K220" s="16" t="s">
        <v>23</v>
      </c>
      <c r="L220" s="16" t="s">
        <v>23</v>
      </c>
      <c r="M220" s="16" t="s">
        <v>23</v>
      </c>
      <c r="N220" s="16" t="s">
        <v>245</v>
      </c>
      <c r="O220" s="12">
        <f t="shared" si="9"/>
        <v>17</v>
      </c>
      <c r="P220" s="12">
        <f t="shared" si="10"/>
        <v>2</v>
      </c>
      <c r="Q220" s="12">
        <f t="shared" si="11"/>
        <v>1975</v>
      </c>
    </row>
    <row r="221" spans="1:17" ht="21.75" customHeight="1" x14ac:dyDescent="0.3">
      <c r="B221" s="4">
        <v>215</v>
      </c>
      <c r="C221" s="3" t="s">
        <v>567</v>
      </c>
      <c r="D221" s="20">
        <v>29521</v>
      </c>
      <c r="E221" s="7" t="s">
        <v>18</v>
      </c>
      <c r="F221" s="7" t="s">
        <v>38</v>
      </c>
      <c r="G221" s="10" t="s">
        <v>568</v>
      </c>
      <c r="H221" s="7"/>
      <c r="I221" s="7"/>
      <c r="J221" s="7"/>
      <c r="K221" s="7" t="s">
        <v>23</v>
      </c>
      <c r="L221" s="7"/>
      <c r="M221" s="7" t="s">
        <v>23</v>
      </c>
      <c r="N221" s="7" t="s">
        <v>245</v>
      </c>
      <c r="O221" s="12">
        <f t="shared" si="9"/>
        <v>27</v>
      </c>
      <c r="P221" s="12">
        <f t="shared" si="10"/>
        <v>10</v>
      </c>
      <c r="Q221" s="12">
        <f t="shared" si="11"/>
        <v>1980</v>
      </c>
    </row>
    <row r="222" spans="1:17" ht="21.75" customHeight="1" x14ac:dyDescent="0.3">
      <c r="B222" s="4">
        <v>216</v>
      </c>
      <c r="C222" s="3" t="s">
        <v>569</v>
      </c>
      <c r="D222" s="20" t="s">
        <v>570</v>
      </c>
      <c r="E222" s="7" t="s">
        <v>19</v>
      </c>
      <c r="F222" s="7" t="s">
        <v>38</v>
      </c>
      <c r="G222" s="10" t="s">
        <v>745</v>
      </c>
      <c r="H222" s="7"/>
      <c r="I222" s="7"/>
      <c r="J222" s="7"/>
      <c r="K222" s="7" t="s">
        <v>23</v>
      </c>
      <c r="L222" s="7"/>
      <c r="M222" s="7"/>
      <c r="N222" s="7"/>
      <c r="O222" s="12">
        <f t="shared" si="9"/>
        <v>21</v>
      </c>
      <c r="P222" s="12">
        <f t="shared" si="10"/>
        <v>4</v>
      </c>
      <c r="Q222" s="12">
        <f t="shared" si="11"/>
        <v>2005</v>
      </c>
    </row>
    <row r="223" spans="1:17" ht="21.75" customHeight="1" x14ac:dyDescent="0.3">
      <c r="B223" s="4">
        <v>217</v>
      </c>
      <c r="C223" s="3" t="s">
        <v>571</v>
      </c>
      <c r="D223" s="20" t="s">
        <v>572</v>
      </c>
      <c r="E223" s="7" t="s">
        <v>19</v>
      </c>
      <c r="F223" s="7" t="s">
        <v>38</v>
      </c>
      <c r="G223" s="10"/>
      <c r="H223" s="7"/>
      <c r="I223" s="7"/>
      <c r="J223" s="7"/>
      <c r="K223" s="7"/>
      <c r="L223" s="7"/>
      <c r="M223" s="7"/>
      <c r="N223" s="7"/>
      <c r="O223" s="12">
        <f t="shared" si="9"/>
        <v>1</v>
      </c>
      <c r="P223" s="12">
        <f t="shared" si="10"/>
        <v>1</v>
      </c>
      <c r="Q223" s="12">
        <f t="shared" si="11"/>
        <v>2010</v>
      </c>
    </row>
    <row r="224" spans="1:17" ht="21.75" customHeight="1" x14ac:dyDescent="0.3">
      <c r="B224" s="4">
        <v>218</v>
      </c>
      <c r="C224" s="3" t="s">
        <v>573</v>
      </c>
      <c r="D224" s="20" t="s">
        <v>574</v>
      </c>
      <c r="E224" s="7" t="s">
        <v>19</v>
      </c>
      <c r="F224" s="7" t="s">
        <v>38</v>
      </c>
      <c r="G224" s="10"/>
      <c r="H224" s="7"/>
      <c r="I224" s="7"/>
      <c r="J224" s="7"/>
      <c r="K224" s="7"/>
      <c r="L224" s="7"/>
      <c r="M224" s="7"/>
      <c r="N224" s="7"/>
      <c r="O224" s="12">
        <f t="shared" si="9"/>
        <v>10</v>
      </c>
      <c r="P224" s="12">
        <f t="shared" si="10"/>
        <v>8</v>
      </c>
      <c r="Q224" s="12">
        <f t="shared" si="11"/>
        <v>2012</v>
      </c>
    </row>
    <row r="225" spans="1:17" s="12" customFormat="1" ht="21.75" customHeight="1" x14ac:dyDescent="0.3">
      <c r="A225" s="18">
        <v>59</v>
      </c>
      <c r="B225" s="13">
        <v>219</v>
      </c>
      <c r="C225" s="14" t="s">
        <v>575</v>
      </c>
      <c r="D225" s="19" t="s">
        <v>576</v>
      </c>
      <c r="E225" s="16" t="s">
        <v>17</v>
      </c>
      <c r="F225" s="16" t="s">
        <v>38</v>
      </c>
      <c r="G225" s="15" t="s">
        <v>577</v>
      </c>
      <c r="H225" s="16" t="s">
        <v>23</v>
      </c>
      <c r="I225" s="16" t="s">
        <v>23</v>
      </c>
      <c r="J225" s="16" t="s">
        <v>23</v>
      </c>
      <c r="K225" s="16" t="s">
        <v>23</v>
      </c>
      <c r="L225" s="16"/>
      <c r="M225" s="16" t="s">
        <v>23</v>
      </c>
      <c r="N225" s="16" t="s">
        <v>27</v>
      </c>
      <c r="O225" s="12">
        <f t="shared" si="9"/>
        <v>2</v>
      </c>
      <c r="P225" s="12">
        <f t="shared" si="10"/>
        <v>5</v>
      </c>
      <c r="Q225" s="12">
        <f t="shared" si="11"/>
        <v>1961</v>
      </c>
    </row>
    <row r="226" spans="1:17" ht="21.75" customHeight="1" x14ac:dyDescent="0.3">
      <c r="B226" s="4">
        <v>220</v>
      </c>
      <c r="C226" s="3" t="s">
        <v>578</v>
      </c>
      <c r="D226" s="20" t="s">
        <v>579</v>
      </c>
      <c r="E226" s="7" t="s">
        <v>19</v>
      </c>
      <c r="F226" s="7" t="s">
        <v>38</v>
      </c>
      <c r="G226" s="10" t="s">
        <v>577</v>
      </c>
      <c r="H226" s="7"/>
      <c r="I226" s="7"/>
      <c r="J226" s="7"/>
      <c r="K226" s="7" t="s">
        <v>23</v>
      </c>
      <c r="L226" s="7"/>
      <c r="M226" s="7" t="s">
        <v>23</v>
      </c>
      <c r="N226" s="7"/>
      <c r="O226" s="12">
        <f t="shared" si="9"/>
        <v>1</v>
      </c>
      <c r="P226" s="12">
        <f t="shared" si="10"/>
        <v>1</v>
      </c>
      <c r="Q226" s="12">
        <f t="shared" si="11"/>
        <v>1999</v>
      </c>
    </row>
    <row r="227" spans="1:17" s="12" customFormat="1" ht="21.75" customHeight="1" x14ac:dyDescent="0.3">
      <c r="A227" s="18">
        <v>60</v>
      </c>
      <c r="B227" s="13">
        <v>221</v>
      </c>
      <c r="C227" s="14" t="s">
        <v>580</v>
      </c>
      <c r="D227" s="19" t="s">
        <v>581</v>
      </c>
      <c r="E227" s="16" t="s">
        <v>17</v>
      </c>
      <c r="F227" s="16" t="s">
        <v>38</v>
      </c>
      <c r="G227" s="15" t="s">
        <v>582</v>
      </c>
      <c r="H227" s="16" t="s">
        <v>23</v>
      </c>
      <c r="I227" s="16" t="s">
        <v>23</v>
      </c>
      <c r="J227" s="16" t="s">
        <v>23</v>
      </c>
      <c r="K227" s="16" t="s">
        <v>23</v>
      </c>
      <c r="L227" s="16" t="s">
        <v>23</v>
      </c>
      <c r="M227" s="16" t="s">
        <v>23</v>
      </c>
      <c r="N227" s="16" t="s">
        <v>539</v>
      </c>
      <c r="O227" s="12">
        <f t="shared" si="9"/>
        <v>2</v>
      </c>
      <c r="P227" s="12">
        <f t="shared" si="10"/>
        <v>1</v>
      </c>
      <c r="Q227" s="12">
        <f t="shared" si="11"/>
        <v>1970</v>
      </c>
    </row>
    <row r="228" spans="1:17" ht="21.75" customHeight="1" x14ac:dyDescent="0.3">
      <c r="B228" s="4">
        <v>222</v>
      </c>
      <c r="C228" s="3" t="s">
        <v>583</v>
      </c>
      <c r="D228" s="20" t="s">
        <v>584</v>
      </c>
      <c r="E228" s="7" t="s">
        <v>19</v>
      </c>
      <c r="F228" s="7" t="s">
        <v>38</v>
      </c>
      <c r="G228" s="10" t="s">
        <v>585</v>
      </c>
      <c r="H228" s="7"/>
      <c r="I228" s="7"/>
      <c r="J228" s="7"/>
      <c r="K228" s="7" t="s">
        <v>23</v>
      </c>
      <c r="L228" s="7"/>
      <c r="M228" s="7" t="s">
        <v>23</v>
      </c>
      <c r="N228" s="7" t="s">
        <v>24</v>
      </c>
      <c r="O228" s="12">
        <f t="shared" si="9"/>
        <v>9</v>
      </c>
      <c r="P228" s="12">
        <f t="shared" si="10"/>
        <v>3</v>
      </c>
      <c r="Q228" s="12">
        <f t="shared" si="11"/>
        <v>1997</v>
      </c>
    </row>
    <row r="229" spans="1:17" ht="21.75" customHeight="1" x14ac:dyDescent="0.3">
      <c r="B229" s="4">
        <v>223</v>
      </c>
      <c r="C229" s="3" t="s">
        <v>586</v>
      </c>
      <c r="D229" s="20" t="s">
        <v>587</v>
      </c>
      <c r="E229" s="7" t="s">
        <v>19</v>
      </c>
      <c r="F229" s="7" t="s">
        <v>38</v>
      </c>
      <c r="G229" s="10" t="s">
        <v>588</v>
      </c>
      <c r="H229" s="7"/>
      <c r="I229" s="7"/>
      <c r="J229" s="7"/>
      <c r="K229" s="7" t="s">
        <v>23</v>
      </c>
      <c r="L229" s="7"/>
      <c r="M229" s="7" t="s">
        <v>23</v>
      </c>
      <c r="N229" s="7" t="s">
        <v>42</v>
      </c>
      <c r="O229" s="12">
        <f t="shared" si="9"/>
        <v>16</v>
      </c>
      <c r="P229" s="12">
        <f t="shared" si="10"/>
        <v>2</v>
      </c>
      <c r="Q229" s="12">
        <f t="shared" si="11"/>
        <v>2008</v>
      </c>
    </row>
    <row r="230" spans="1:17" ht="21.75" customHeight="1" x14ac:dyDescent="0.3">
      <c r="B230" s="4">
        <v>224</v>
      </c>
      <c r="C230" s="3" t="s">
        <v>589</v>
      </c>
      <c r="D230" s="20" t="s">
        <v>590</v>
      </c>
      <c r="E230" s="7" t="s">
        <v>21</v>
      </c>
      <c r="F230" s="7" t="s">
        <v>38</v>
      </c>
      <c r="G230" s="10" t="s">
        <v>591</v>
      </c>
      <c r="H230" s="7"/>
      <c r="I230" s="7"/>
      <c r="J230" s="7"/>
      <c r="K230" s="7" t="s">
        <v>23</v>
      </c>
      <c r="L230" s="7"/>
      <c r="M230" s="7" t="s">
        <v>23</v>
      </c>
      <c r="N230" s="7" t="s">
        <v>24</v>
      </c>
      <c r="O230" s="12">
        <f t="shared" si="9"/>
        <v>1</v>
      </c>
      <c r="P230" s="12">
        <f t="shared" si="10"/>
        <v>1</v>
      </c>
      <c r="Q230" s="12">
        <f t="shared" si="11"/>
        <v>1997</v>
      </c>
    </row>
    <row r="231" spans="1:17" s="12" customFormat="1" ht="21.75" customHeight="1" x14ac:dyDescent="0.3">
      <c r="A231" s="18">
        <v>61</v>
      </c>
      <c r="B231" s="13">
        <v>225</v>
      </c>
      <c r="C231" s="14" t="s">
        <v>592</v>
      </c>
      <c r="D231" s="19" t="s">
        <v>593</v>
      </c>
      <c r="E231" s="16" t="s">
        <v>17</v>
      </c>
      <c r="F231" s="16" t="s">
        <v>38</v>
      </c>
      <c r="G231" s="15" t="s">
        <v>594</v>
      </c>
      <c r="H231" s="16" t="s">
        <v>23</v>
      </c>
      <c r="I231" s="16" t="s">
        <v>23</v>
      </c>
      <c r="J231" s="16" t="s">
        <v>23</v>
      </c>
      <c r="K231" s="16" t="s">
        <v>23</v>
      </c>
      <c r="L231" s="16" t="s">
        <v>23</v>
      </c>
      <c r="M231" s="16" t="s">
        <v>23</v>
      </c>
      <c r="N231" s="16" t="s">
        <v>595</v>
      </c>
      <c r="O231" s="12">
        <f t="shared" si="9"/>
        <v>1</v>
      </c>
      <c r="P231" s="12">
        <f t="shared" si="10"/>
        <v>1</v>
      </c>
      <c r="Q231" s="12">
        <f t="shared" si="11"/>
        <v>1972</v>
      </c>
    </row>
    <row r="232" spans="1:17" ht="21.75" customHeight="1" x14ac:dyDescent="0.3">
      <c r="B232" s="4">
        <v>226</v>
      </c>
      <c r="C232" s="3" t="s">
        <v>596</v>
      </c>
      <c r="D232" s="20" t="s">
        <v>597</v>
      </c>
      <c r="E232" s="7" t="s">
        <v>18</v>
      </c>
      <c r="F232" s="7" t="s">
        <v>38</v>
      </c>
      <c r="G232" s="10" t="s">
        <v>598</v>
      </c>
      <c r="H232" s="7"/>
      <c r="I232" s="7"/>
      <c r="J232" s="7"/>
      <c r="K232" s="7" t="s">
        <v>23</v>
      </c>
      <c r="L232" s="7"/>
      <c r="M232" s="7" t="s">
        <v>23</v>
      </c>
      <c r="N232" s="7" t="s">
        <v>245</v>
      </c>
      <c r="O232" s="12">
        <f t="shared" si="9"/>
        <v>27</v>
      </c>
      <c r="P232" s="12">
        <f t="shared" si="10"/>
        <v>5</v>
      </c>
      <c r="Q232" s="12">
        <f t="shared" si="11"/>
        <v>1975</v>
      </c>
    </row>
    <row r="233" spans="1:17" ht="21.75" customHeight="1" x14ac:dyDescent="0.3">
      <c r="B233" s="4">
        <v>227</v>
      </c>
      <c r="C233" s="3" t="s">
        <v>599</v>
      </c>
      <c r="D233" s="20" t="s">
        <v>600</v>
      </c>
      <c r="E233" s="7" t="s">
        <v>19</v>
      </c>
      <c r="F233" s="7" t="s">
        <v>38</v>
      </c>
      <c r="G233" s="10" t="s">
        <v>601</v>
      </c>
      <c r="H233" s="7"/>
      <c r="I233" s="7"/>
      <c r="J233" s="7"/>
      <c r="K233" s="7" t="s">
        <v>23</v>
      </c>
      <c r="L233" s="7"/>
      <c r="M233" s="7" t="s">
        <v>23</v>
      </c>
      <c r="N233" s="7" t="s">
        <v>24</v>
      </c>
      <c r="O233" s="12">
        <f t="shared" si="9"/>
        <v>23</v>
      </c>
      <c r="P233" s="12">
        <f t="shared" si="10"/>
        <v>6</v>
      </c>
      <c r="Q233" s="12">
        <f t="shared" si="11"/>
        <v>1997</v>
      </c>
    </row>
    <row r="234" spans="1:17" ht="21.75" customHeight="1" x14ac:dyDescent="0.3">
      <c r="B234" s="4">
        <v>228</v>
      </c>
      <c r="C234" s="3" t="s">
        <v>602</v>
      </c>
      <c r="D234" s="20" t="s">
        <v>603</v>
      </c>
      <c r="E234" s="7" t="s">
        <v>19</v>
      </c>
      <c r="F234" s="7" t="s">
        <v>38</v>
      </c>
      <c r="G234" s="7">
        <v>935501604</v>
      </c>
      <c r="H234" s="7"/>
      <c r="I234" s="7"/>
      <c r="J234" s="7"/>
      <c r="K234" s="7" t="s">
        <v>23</v>
      </c>
      <c r="L234" s="7"/>
      <c r="M234" s="7" t="s">
        <v>23</v>
      </c>
      <c r="N234" s="7" t="s">
        <v>212</v>
      </c>
      <c r="O234" s="12">
        <f t="shared" si="9"/>
        <v>5</v>
      </c>
      <c r="P234" s="12">
        <f t="shared" si="10"/>
        <v>7</v>
      </c>
      <c r="Q234" s="12">
        <f t="shared" si="11"/>
        <v>2001</v>
      </c>
    </row>
    <row r="235" spans="1:17" ht="21.75" customHeight="1" x14ac:dyDescent="0.3">
      <c r="B235" s="4">
        <v>229</v>
      </c>
      <c r="C235" s="3" t="s">
        <v>604</v>
      </c>
      <c r="D235" s="20" t="s">
        <v>605</v>
      </c>
      <c r="E235" s="7" t="s">
        <v>19</v>
      </c>
      <c r="F235" s="7" t="s">
        <v>38</v>
      </c>
      <c r="G235" s="10"/>
      <c r="H235" s="7"/>
      <c r="I235" s="7"/>
      <c r="J235" s="7"/>
      <c r="K235" s="7" t="s">
        <v>23</v>
      </c>
      <c r="L235" s="7"/>
      <c r="M235" s="7" t="s">
        <v>23</v>
      </c>
      <c r="N235" s="7" t="s">
        <v>245</v>
      </c>
      <c r="O235" s="12">
        <f t="shared" si="9"/>
        <v>15</v>
      </c>
      <c r="P235" s="12">
        <f t="shared" si="10"/>
        <v>5</v>
      </c>
      <c r="Q235" s="12">
        <f t="shared" si="11"/>
        <v>2010</v>
      </c>
    </row>
    <row r="236" spans="1:17" ht="21.75" customHeight="1" x14ac:dyDescent="0.3">
      <c r="B236" s="4">
        <v>230</v>
      </c>
      <c r="C236" s="3" t="s">
        <v>606</v>
      </c>
      <c r="D236" s="20" t="s">
        <v>607</v>
      </c>
      <c r="E236" s="7" t="s">
        <v>21</v>
      </c>
      <c r="F236" s="7" t="s">
        <v>38</v>
      </c>
      <c r="G236" s="10" t="s">
        <v>608</v>
      </c>
      <c r="H236" s="7"/>
      <c r="I236" s="7"/>
      <c r="J236" s="7"/>
      <c r="K236" s="7" t="s">
        <v>23</v>
      </c>
      <c r="L236" s="7"/>
      <c r="M236" s="7" t="s">
        <v>23</v>
      </c>
      <c r="N236" s="7" t="s">
        <v>609</v>
      </c>
      <c r="O236" s="12"/>
      <c r="P236" s="12"/>
      <c r="Q236" s="12">
        <v>1997</v>
      </c>
    </row>
    <row r="237" spans="1:17" s="12" customFormat="1" ht="21.75" customHeight="1" x14ac:dyDescent="0.3">
      <c r="A237" s="18">
        <v>62</v>
      </c>
      <c r="B237" s="13">
        <v>231</v>
      </c>
      <c r="C237" s="14" t="s">
        <v>610</v>
      </c>
      <c r="D237" s="19" t="s">
        <v>206</v>
      </c>
      <c r="E237" s="16" t="s">
        <v>17</v>
      </c>
      <c r="F237" s="16" t="s">
        <v>38</v>
      </c>
      <c r="G237" s="15" t="s">
        <v>611</v>
      </c>
      <c r="H237" s="16" t="s">
        <v>23</v>
      </c>
      <c r="I237" s="16" t="s">
        <v>23</v>
      </c>
      <c r="J237" s="16" t="s">
        <v>23</v>
      </c>
      <c r="K237" s="16" t="s">
        <v>23</v>
      </c>
      <c r="L237" s="16" t="s">
        <v>23</v>
      </c>
      <c r="M237" s="16" t="s">
        <v>23</v>
      </c>
      <c r="N237" s="16" t="s">
        <v>42</v>
      </c>
      <c r="O237" s="12">
        <f t="shared" si="9"/>
        <v>1</v>
      </c>
      <c r="P237" s="12">
        <f t="shared" si="10"/>
        <v>1</v>
      </c>
      <c r="Q237" s="12">
        <f t="shared" si="11"/>
        <v>1980</v>
      </c>
    </row>
    <row r="238" spans="1:17" ht="21.75" customHeight="1" x14ac:dyDescent="0.3">
      <c r="B238" s="4">
        <v>232</v>
      </c>
      <c r="C238" s="3" t="s">
        <v>612</v>
      </c>
      <c r="D238" s="20" t="s">
        <v>613</v>
      </c>
      <c r="E238" s="7" t="s">
        <v>18</v>
      </c>
      <c r="F238" s="7" t="s">
        <v>38</v>
      </c>
      <c r="G238" s="10" t="s">
        <v>614</v>
      </c>
      <c r="H238" s="7"/>
      <c r="I238" s="7"/>
      <c r="J238" s="7"/>
      <c r="K238" s="7" t="s">
        <v>23</v>
      </c>
      <c r="L238" s="7"/>
      <c r="M238" s="7" t="s">
        <v>23</v>
      </c>
      <c r="N238" s="7" t="s">
        <v>24</v>
      </c>
      <c r="O238" s="12">
        <f t="shared" si="9"/>
        <v>1</v>
      </c>
      <c r="P238" s="12">
        <f t="shared" si="10"/>
        <v>1</v>
      </c>
      <c r="Q238" s="12">
        <f t="shared" si="11"/>
        <v>1985</v>
      </c>
    </row>
    <row r="239" spans="1:17" ht="21.75" customHeight="1" x14ac:dyDescent="0.3">
      <c r="B239" s="4">
        <v>233</v>
      </c>
      <c r="C239" s="3" t="s">
        <v>615</v>
      </c>
      <c r="D239" s="20" t="s">
        <v>616</v>
      </c>
      <c r="E239" s="7" t="s">
        <v>19</v>
      </c>
      <c r="F239" s="7" t="s">
        <v>38</v>
      </c>
      <c r="G239" s="10" t="s">
        <v>617</v>
      </c>
      <c r="H239" s="7"/>
      <c r="I239" s="7"/>
      <c r="J239" s="7"/>
      <c r="K239" s="7" t="s">
        <v>23</v>
      </c>
      <c r="L239" s="7"/>
      <c r="M239" s="7" t="s">
        <v>23</v>
      </c>
      <c r="N239" s="7" t="s">
        <v>24</v>
      </c>
      <c r="O239" s="12">
        <f t="shared" si="9"/>
        <v>8</v>
      </c>
      <c r="P239" s="12">
        <f t="shared" si="10"/>
        <v>2</v>
      </c>
      <c r="Q239" s="12">
        <f t="shared" si="11"/>
        <v>2007</v>
      </c>
    </row>
    <row r="240" spans="1:17" ht="21.75" customHeight="1" x14ac:dyDescent="0.3">
      <c r="B240" s="4">
        <v>234</v>
      </c>
      <c r="C240" s="3" t="s">
        <v>618</v>
      </c>
      <c r="D240" s="20" t="s">
        <v>619</v>
      </c>
      <c r="E240" s="7" t="s">
        <v>19</v>
      </c>
      <c r="F240" s="7" t="s">
        <v>38</v>
      </c>
      <c r="G240" s="10" t="s">
        <v>620</v>
      </c>
      <c r="H240" s="7"/>
      <c r="I240" s="7"/>
      <c r="J240" s="7"/>
      <c r="K240" s="7" t="s">
        <v>23</v>
      </c>
      <c r="L240" s="7"/>
      <c r="M240" s="7" t="s">
        <v>23</v>
      </c>
      <c r="N240" s="7" t="s">
        <v>24</v>
      </c>
      <c r="O240" s="12">
        <f t="shared" si="9"/>
        <v>1</v>
      </c>
      <c r="P240" s="12">
        <f t="shared" si="10"/>
        <v>1</v>
      </c>
      <c r="Q240" s="12">
        <f t="shared" si="11"/>
        <v>2009</v>
      </c>
    </row>
    <row r="241" spans="1:17" s="12" customFormat="1" ht="21.75" customHeight="1" x14ac:dyDescent="0.3">
      <c r="A241" s="18">
        <v>63</v>
      </c>
      <c r="B241" s="13">
        <v>235</v>
      </c>
      <c r="C241" s="14" t="s">
        <v>621</v>
      </c>
      <c r="D241" s="19" t="s">
        <v>622</v>
      </c>
      <c r="E241" s="16" t="s">
        <v>17</v>
      </c>
      <c r="F241" s="16" t="s">
        <v>38</v>
      </c>
      <c r="G241" s="15" t="s">
        <v>623</v>
      </c>
      <c r="H241" s="16" t="s">
        <v>23</v>
      </c>
      <c r="I241" s="16" t="s">
        <v>23</v>
      </c>
      <c r="J241" s="16" t="s">
        <v>23</v>
      </c>
      <c r="K241" s="16" t="s">
        <v>23</v>
      </c>
      <c r="L241" s="16" t="s">
        <v>23</v>
      </c>
      <c r="M241" s="16" t="s">
        <v>23</v>
      </c>
      <c r="N241" s="16" t="s">
        <v>24</v>
      </c>
      <c r="O241" s="12">
        <f t="shared" si="9"/>
        <v>20</v>
      </c>
      <c r="P241" s="12">
        <f t="shared" si="10"/>
        <v>10</v>
      </c>
      <c r="Q241" s="12">
        <f t="shared" si="11"/>
        <v>1955</v>
      </c>
    </row>
    <row r="242" spans="1:17" ht="21.75" customHeight="1" x14ac:dyDescent="0.3">
      <c r="B242" s="4">
        <v>236</v>
      </c>
      <c r="C242" s="3" t="s">
        <v>624</v>
      </c>
      <c r="D242" s="20" t="s">
        <v>625</v>
      </c>
      <c r="E242" s="7" t="s">
        <v>19</v>
      </c>
      <c r="F242" s="7" t="s">
        <v>38</v>
      </c>
      <c r="G242" s="10" t="s">
        <v>623</v>
      </c>
      <c r="H242" s="7"/>
      <c r="I242" s="7"/>
      <c r="J242" s="7"/>
      <c r="K242" s="7" t="s">
        <v>23</v>
      </c>
      <c r="L242" s="7"/>
      <c r="M242" s="7" t="s">
        <v>23</v>
      </c>
      <c r="N242" s="7" t="s">
        <v>24</v>
      </c>
      <c r="O242" s="12">
        <f t="shared" si="9"/>
        <v>2</v>
      </c>
      <c r="P242" s="12">
        <f t="shared" si="10"/>
        <v>1</v>
      </c>
      <c r="Q242" s="12">
        <f t="shared" si="11"/>
        <v>1988</v>
      </c>
    </row>
    <row r="243" spans="1:17" ht="21.75" customHeight="1" x14ac:dyDescent="0.3">
      <c r="B243" s="4">
        <v>237</v>
      </c>
      <c r="C243" s="3" t="s">
        <v>626</v>
      </c>
      <c r="D243" s="20" t="s">
        <v>627</v>
      </c>
      <c r="E243" s="7" t="s">
        <v>21</v>
      </c>
      <c r="F243" s="7" t="s">
        <v>38</v>
      </c>
      <c r="G243" s="10" t="s">
        <v>628</v>
      </c>
      <c r="H243" s="7"/>
      <c r="I243" s="7"/>
      <c r="J243" s="7"/>
      <c r="K243" s="7" t="s">
        <v>23</v>
      </c>
      <c r="L243" s="7"/>
      <c r="M243" s="7" t="s">
        <v>23</v>
      </c>
      <c r="N243" s="7" t="s">
        <v>24</v>
      </c>
      <c r="O243" s="12">
        <f t="shared" si="9"/>
        <v>10</v>
      </c>
      <c r="P243" s="12">
        <f t="shared" si="10"/>
        <v>11</v>
      </c>
      <c r="Q243" s="12">
        <f t="shared" si="11"/>
        <v>1988</v>
      </c>
    </row>
    <row r="244" spans="1:17" ht="21.75" customHeight="1" x14ac:dyDescent="0.3">
      <c r="B244" s="4">
        <v>238</v>
      </c>
      <c r="C244" s="3" t="s">
        <v>629</v>
      </c>
      <c r="D244" s="20" t="s">
        <v>630</v>
      </c>
      <c r="E244" s="7" t="s">
        <v>22</v>
      </c>
      <c r="F244" s="7" t="s">
        <v>38</v>
      </c>
      <c r="G244" s="10"/>
      <c r="H244" s="7"/>
      <c r="I244" s="7"/>
      <c r="J244" s="7"/>
      <c r="K244" s="7"/>
      <c r="L244" s="7"/>
      <c r="M244" s="7"/>
      <c r="N244" s="7"/>
      <c r="O244" s="12">
        <f t="shared" si="9"/>
        <v>18</v>
      </c>
      <c r="P244" s="12">
        <f t="shared" si="10"/>
        <v>10</v>
      </c>
      <c r="Q244" s="12">
        <f t="shared" si="11"/>
        <v>2015</v>
      </c>
    </row>
    <row r="245" spans="1:17" ht="21.75" customHeight="1" x14ac:dyDescent="0.3">
      <c r="B245" s="4">
        <v>239</v>
      </c>
      <c r="C245" s="3" t="s">
        <v>631</v>
      </c>
      <c r="D245" s="20" t="s">
        <v>632</v>
      </c>
      <c r="E245" s="7" t="s">
        <v>22</v>
      </c>
      <c r="F245" s="7" t="s">
        <v>38</v>
      </c>
      <c r="G245" s="10"/>
      <c r="H245" s="7"/>
      <c r="I245" s="7"/>
      <c r="J245" s="7"/>
      <c r="K245" s="7"/>
      <c r="L245" s="7"/>
      <c r="M245" s="7"/>
      <c r="N245" s="7"/>
      <c r="O245" s="12">
        <f t="shared" si="9"/>
        <v>2</v>
      </c>
      <c r="P245" s="12">
        <f t="shared" si="10"/>
        <v>8</v>
      </c>
      <c r="Q245" s="12">
        <f t="shared" si="11"/>
        <v>2017</v>
      </c>
    </row>
    <row r="246" spans="1:17" s="12" customFormat="1" ht="21.75" customHeight="1" x14ac:dyDescent="0.3">
      <c r="A246" s="18">
        <v>64</v>
      </c>
      <c r="B246" s="13">
        <v>240</v>
      </c>
      <c r="C246" s="14" t="s">
        <v>633</v>
      </c>
      <c r="D246" s="19" t="s">
        <v>634</v>
      </c>
      <c r="E246" s="16" t="s">
        <v>17</v>
      </c>
      <c r="F246" s="16" t="s">
        <v>38</v>
      </c>
      <c r="G246" s="15" t="s">
        <v>635</v>
      </c>
      <c r="H246" s="16" t="s">
        <v>23</v>
      </c>
      <c r="I246" s="16" t="s">
        <v>23</v>
      </c>
      <c r="J246" s="16" t="s">
        <v>23</v>
      </c>
      <c r="K246" s="16"/>
      <c r="L246" s="16"/>
      <c r="M246" s="16"/>
      <c r="N246" s="16"/>
      <c r="O246" s="12">
        <f t="shared" si="9"/>
        <v>1</v>
      </c>
      <c r="P246" s="12">
        <f t="shared" si="10"/>
        <v>1</v>
      </c>
      <c r="Q246" s="12">
        <f t="shared" si="11"/>
        <v>1946</v>
      </c>
    </row>
    <row r="247" spans="1:17" ht="21.75" customHeight="1" x14ac:dyDescent="0.3">
      <c r="B247" s="4">
        <v>241</v>
      </c>
      <c r="C247" s="3" t="s">
        <v>636</v>
      </c>
      <c r="D247" s="20" t="s">
        <v>637</v>
      </c>
      <c r="E247" s="7" t="s">
        <v>18</v>
      </c>
      <c r="F247" s="7" t="s">
        <v>38</v>
      </c>
      <c r="G247" s="10"/>
      <c r="H247" s="7"/>
      <c r="I247" s="7"/>
      <c r="J247" s="7"/>
      <c r="K247" s="7"/>
      <c r="L247" s="7"/>
      <c r="M247" s="7"/>
      <c r="N247" s="7"/>
      <c r="O247" s="12">
        <f t="shared" si="9"/>
        <v>1</v>
      </c>
      <c r="P247" s="12">
        <f t="shared" si="10"/>
        <v>1</v>
      </c>
      <c r="Q247" s="12">
        <f t="shared" si="11"/>
        <v>1947</v>
      </c>
    </row>
    <row r="248" spans="1:17" s="12" customFormat="1" ht="21.75" customHeight="1" x14ac:dyDescent="0.3">
      <c r="A248" s="18">
        <v>65</v>
      </c>
      <c r="B248" s="13">
        <v>242</v>
      </c>
      <c r="C248" s="14" t="s">
        <v>638</v>
      </c>
      <c r="D248" s="19" t="s">
        <v>639</v>
      </c>
      <c r="E248" s="16" t="s">
        <v>17</v>
      </c>
      <c r="F248" s="16" t="s">
        <v>38</v>
      </c>
      <c r="G248" s="15" t="s">
        <v>640</v>
      </c>
      <c r="H248" s="16" t="s">
        <v>23</v>
      </c>
      <c r="I248" s="16" t="s">
        <v>23</v>
      </c>
      <c r="J248" s="16" t="s">
        <v>23</v>
      </c>
      <c r="K248" s="16" t="s">
        <v>23</v>
      </c>
      <c r="L248" s="16" t="s">
        <v>23</v>
      </c>
      <c r="M248" s="16" t="s">
        <v>23</v>
      </c>
      <c r="N248" s="16" t="s">
        <v>27</v>
      </c>
      <c r="O248" s="12">
        <f t="shared" si="9"/>
        <v>10</v>
      </c>
      <c r="P248" s="12">
        <f t="shared" si="10"/>
        <v>12</v>
      </c>
      <c r="Q248" s="12">
        <f t="shared" si="11"/>
        <v>1962</v>
      </c>
    </row>
    <row r="249" spans="1:17" ht="21.75" customHeight="1" x14ac:dyDescent="0.3">
      <c r="B249" s="4">
        <v>243</v>
      </c>
      <c r="C249" s="3" t="s">
        <v>641</v>
      </c>
      <c r="D249" s="20" t="s">
        <v>642</v>
      </c>
      <c r="E249" s="7" t="s">
        <v>18</v>
      </c>
      <c r="F249" s="7" t="s">
        <v>38</v>
      </c>
      <c r="G249" s="10" t="s">
        <v>643</v>
      </c>
      <c r="H249" s="7"/>
      <c r="I249" s="7"/>
      <c r="J249" s="7"/>
      <c r="K249" s="7" t="s">
        <v>23</v>
      </c>
      <c r="L249" s="7"/>
      <c r="M249" s="7" t="s">
        <v>23</v>
      </c>
      <c r="N249" s="7" t="s">
        <v>27</v>
      </c>
      <c r="O249" s="12">
        <f t="shared" si="9"/>
        <v>20</v>
      </c>
      <c r="P249" s="12">
        <f t="shared" si="10"/>
        <v>12</v>
      </c>
      <c r="Q249" s="12">
        <f t="shared" si="11"/>
        <v>1959</v>
      </c>
    </row>
    <row r="250" spans="1:17" ht="21.75" customHeight="1" x14ac:dyDescent="0.3">
      <c r="B250" s="4">
        <v>244</v>
      </c>
      <c r="C250" s="3" t="s">
        <v>644</v>
      </c>
      <c r="D250" s="20" t="s">
        <v>645</v>
      </c>
      <c r="E250" s="7" t="s">
        <v>19</v>
      </c>
      <c r="F250" s="7" t="s">
        <v>38</v>
      </c>
      <c r="G250" s="10" t="s">
        <v>450</v>
      </c>
      <c r="H250" s="7"/>
      <c r="I250" s="7"/>
      <c r="J250" s="7"/>
      <c r="K250" s="7" t="s">
        <v>23</v>
      </c>
      <c r="L250" s="7"/>
      <c r="M250" s="7" t="s">
        <v>23</v>
      </c>
      <c r="N250" s="7" t="s">
        <v>138</v>
      </c>
      <c r="O250" s="12">
        <f t="shared" si="9"/>
        <v>15</v>
      </c>
      <c r="P250" s="12">
        <f t="shared" si="10"/>
        <v>11</v>
      </c>
      <c r="Q250" s="12">
        <f t="shared" si="11"/>
        <v>1995</v>
      </c>
    </row>
    <row r="251" spans="1:17" s="12" customFormat="1" ht="21.75" customHeight="1" x14ac:dyDescent="0.3">
      <c r="A251" s="18">
        <v>66</v>
      </c>
      <c r="B251" s="13">
        <v>245</v>
      </c>
      <c r="C251" s="14" t="s">
        <v>646</v>
      </c>
      <c r="D251" s="19" t="s">
        <v>299</v>
      </c>
      <c r="E251" s="16" t="s">
        <v>17</v>
      </c>
      <c r="F251" s="16" t="s">
        <v>38</v>
      </c>
      <c r="G251" s="15" t="s">
        <v>647</v>
      </c>
      <c r="H251" s="16" t="s">
        <v>23</v>
      </c>
      <c r="I251" s="16" t="s">
        <v>23</v>
      </c>
      <c r="J251" s="16" t="s">
        <v>23</v>
      </c>
      <c r="K251" s="16"/>
      <c r="L251" s="16" t="s">
        <v>23</v>
      </c>
      <c r="M251" s="16" t="s">
        <v>23</v>
      </c>
      <c r="N251" s="16" t="s">
        <v>27</v>
      </c>
      <c r="O251" s="12">
        <f t="shared" si="9"/>
        <v>1</v>
      </c>
      <c r="P251" s="12">
        <f t="shared" si="10"/>
        <v>1</v>
      </c>
      <c r="Q251" s="12">
        <f t="shared" si="11"/>
        <v>1952</v>
      </c>
    </row>
    <row r="252" spans="1:17" ht="21.75" customHeight="1" x14ac:dyDescent="0.3">
      <c r="B252" s="4">
        <v>246</v>
      </c>
      <c r="C252" s="3" t="s">
        <v>648</v>
      </c>
      <c r="D252" s="20" t="s">
        <v>649</v>
      </c>
      <c r="E252" s="7" t="s">
        <v>19</v>
      </c>
      <c r="F252" s="7" t="s">
        <v>38</v>
      </c>
      <c r="G252" s="10" t="s">
        <v>650</v>
      </c>
      <c r="H252" s="7"/>
      <c r="I252" s="7"/>
      <c r="J252" s="7"/>
      <c r="K252" s="7" t="s">
        <v>23</v>
      </c>
      <c r="L252" s="7"/>
      <c r="M252" s="7" t="s">
        <v>23</v>
      </c>
      <c r="N252" s="7" t="s">
        <v>27</v>
      </c>
      <c r="O252" s="12">
        <f t="shared" si="9"/>
        <v>7</v>
      </c>
      <c r="P252" s="12">
        <f t="shared" si="10"/>
        <v>4</v>
      </c>
      <c r="Q252" s="12">
        <f t="shared" si="11"/>
        <v>1987</v>
      </c>
    </row>
    <row r="253" spans="1:17" ht="21.75" customHeight="1" x14ac:dyDescent="0.3">
      <c r="B253" s="4">
        <v>247</v>
      </c>
      <c r="C253" s="3" t="s">
        <v>651</v>
      </c>
      <c r="D253" s="20" t="s">
        <v>652</v>
      </c>
      <c r="E253" s="7" t="s">
        <v>21</v>
      </c>
      <c r="F253" s="7" t="s">
        <v>38</v>
      </c>
      <c r="G253" s="10" t="s">
        <v>653</v>
      </c>
      <c r="H253" s="7"/>
      <c r="I253" s="7"/>
      <c r="J253" s="7"/>
      <c r="K253" s="7" t="s">
        <v>23</v>
      </c>
      <c r="L253" s="7"/>
      <c r="M253" s="7" t="s">
        <v>23</v>
      </c>
      <c r="N253" s="7" t="s">
        <v>245</v>
      </c>
      <c r="O253" s="12">
        <f t="shared" si="9"/>
        <v>6</v>
      </c>
      <c r="P253" s="12">
        <f t="shared" si="10"/>
        <v>10</v>
      </c>
      <c r="Q253" s="12">
        <f t="shared" si="11"/>
        <v>1991</v>
      </c>
    </row>
    <row r="254" spans="1:17" ht="21.75" customHeight="1" x14ac:dyDescent="0.3">
      <c r="B254" s="4">
        <v>248</v>
      </c>
      <c r="C254" s="3" t="s">
        <v>654</v>
      </c>
      <c r="D254" s="20" t="s">
        <v>655</v>
      </c>
      <c r="E254" s="7" t="s">
        <v>22</v>
      </c>
      <c r="F254" s="7" t="s">
        <v>38</v>
      </c>
      <c r="G254" s="10"/>
      <c r="H254" s="7"/>
      <c r="I254" s="7"/>
      <c r="J254" s="7"/>
      <c r="K254" s="7"/>
      <c r="L254" s="7"/>
      <c r="M254" s="7"/>
      <c r="N254" s="7"/>
      <c r="O254" s="12">
        <f t="shared" si="9"/>
        <v>6</v>
      </c>
      <c r="P254" s="12">
        <f t="shared" si="10"/>
        <v>5</v>
      </c>
      <c r="Q254" s="12">
        <f t="shared" si="11"/>
        <v>2021</v>
      </c>
    </row>
    <row r="255" spans="1:17" ht="21.75" customHeight="1" x14ac:dyDescent="0.3">
      <c r="B255" s="4">
        <v>249</v>
      </c>
      <c r="C255" s="3" t="s">
        <v>656</v>
      </c>
      <c r="D255" s="20" t="s">
        <v>657</v>
      </c>
      <c r="E255" s="7" t="s">
        <v>22</v>
      </c>
      <c r="F255" s="7" t="s">
        <v>38</v>
      </c>
      <c r="G255" s="10"/>
      <c r="H255" s="7"/>
      <c r="I255" s="7"/>
      <c r="J255" s="7"/>
      <c r="K255" s="7"/>
      <c r="L255" s="7"/>
      <c r="M255" s="7"/>
      <c r="N255" s="7"/>
      <c r="O255" s="12">
        <f t="shared" si="9"/>
        <v>2</v>
      </c>
      <c r="P255" s="12">
        <f t="shared" si="10"/>
        <v>2</v>
      </c>
      <c r="Q255" s="12">
        <f t="shared" si="11"/>
        <v>2016</v>
      </c>
    </row>
    <row r="256" spans="1:17" s="12" customFormat="1" ht="21.75" customHeight="1" x14ac:dyDescent="0.3">
      <c r="A256" s="18">
        <v>67</v>
      </c>
      <c r="B256" s="13">
        <v>250</v>
      </c>
      <c r="C256" s="14" t="s">
        <v>658</v>
      </c>
      <c r="D256" s="19" t="s">
        <v>659</v>
      </c>
      <c r="E256" s="16" t="s">
        <v>17</v>
      </c>
      <c r="F256" s="16" t="s">
        <v>38</v>
      </c>
      <c r="G256" s="15" t="s">
        <v>660</v>
      </c>
      <c r="H256" s="16" t="s">
        <v>23</v>
      </c>
      <c r="I256" s="16" t="s">
        <v>23</v>
      </c>
      <c r="J256" s="16" t="s">
        <v>23</v>
      </c>
      <c r="K256" s="16" t="s">
        <v>23</v>
      </c>
      <c r="L256" s="16" t="s">
        <v>23</v>
      </c>
      <c r="M256" s="16" t="s">
        <v>23</v>
      </c>
      <c r="N256" s="16" t="s">
        <v>24</v>
      </c>
      <c r="O256" s="12">
        <f t="shared" si="9"/>
        <v>6</v>
      </c>
      <c r="P256" s="12">
        <f t="shared" si="10"/>
        <v>5</v>
      </c>
      <c r="Q256" s="12">
        <f t="shared" si="11"/>
        <v>1978</v>
      </c>
    </row>
    <row r="257" spans="1:17" ht="21.75" customHeight="1" x14ac:dyDescent="0.3">
      <c r="B257" s="4">
        <v>251</v>
      </c>
      <c r="C257" s="3" t="s">
        <v>661</v>
      </c>
      <c r="D257" s="20">
        <v>36923</v>
      </c>
      <c r="E257" s="7" t="s">
        <v>19</v>
      </c>
      <c r="F257" s="7" t="s">
        <v>38</v>
      </c>
      <c r="G257" s="10" t="s">
        <v>662</v>
      </c>
      <c r="H257" s="7"/>
      <c r="I257" s="7"/>
      <c r="J257" s="7"/>
      <c r="K257" s="7" t="s">
        <v>23</v>
      </c>
      <c r="L257" s="7"/>
      <c r="M257" s="7" t="s">
        <v>23</v>
      </c>
      <c r="N257" s="7" t="s">
        <v>42</v>
      </c>
      <c r="O257" s="12">
        <f t="shared" si="9"/>
        <v>1</v>
      </c>
      <c r="P257" s="12">
        <f t="shared" si="10"/>
        <v>2</v>
      </c>
      <c r="Q257" s="12">
        <f t="shared" si="11"/>
        <v>2001</v>
      </c>
    </row>
    <row r="258" spans="1:17" ht="21.75" customHeight="1" x14ac:dyDescent="0.3">
      <c r="B258" s="4">
        <v>252</v>
      </c>
      <c r="C258" s="3" t="s">
        <v>663</v>
      </c>
      <c r="D258" s="20" t="s">
        <v>664</v>
      </c>
      <c r="E258" s="7" t="s">
        <v>19</v>
      </c>
      <c r="F258" s="7" t="s">
        <v>38</v>
      </c>
      <c r="G258" s="10" t="s">
        <v>665</v>
      </c>
      <c r="H258" s="7"/>
      <c r="I258" s="7"/>
      <c r="J258" s="7"/>
      <c r="K258" s="7" t="s">
        <v>23</v>
      </c>
      <c r="L258" s="7"/>
      <c r="M258" s="7"/>
      <c r="N258" s="7"/>
      <c r="O258" s="12">
        <f t="shared" si="9"/>
        <v>10</v>
      </c>
      <c r="P258" s="12">
        <f t="shared" si="10"/>
        <v>11</v>
      </c>
      <c r="Q258" s="12">
        <f t="shared" si="11"/>
        <v>2009</v>
      </c>
    </row>
    <row r="259" spans="1:17" s="12" customFormat="1" ht="21.75" customHeight="1" x14ac:dyDescent="0.3">
      <c r="A259" s="18">
        <v>68</v>
      </c>
      <c r="B259" s="13">
        <v>253</v>
      </c>
      <c r="C259" s="14" t="s">
        <v>666</v>
      </c>
      <c r="D259" s="19" t="s">
        <v>667</v>
      </c>
      <c r="E259" s="16" t="s">
        <v>17</v>
      </c>
      <c r="F259" s="16" t="s">
        <v>38</v>
      </c>
      <c r="G259" s="15" t="s">
        <v>635</v>
      </c>
      <c r="H259" s="16" t="s">
        <v>23</v>
      </c>
      <c r="I259" s="16" t="s">
        <v>23</v>
      </c>
      <c r="J259" s="16" t="s">
        <v>23</v>
      </c>
      <c r="K259" s="16" t="s">
        <v>23</v>
      </c>
      <c r="L259" s="16" t="s">
        <v>23</v>
      </c>
      <c r="M259" s="16" t="s">
        <v>23</v>
      </c>
      <c r="N259" s="16" t="s">
        <v>138</v>
      </c>
      <c r="O259" s="12">
        <f t="shared" si="9"/>
        <v>1</v>
      </c>
      <c r="P259" s="12">
        <f t="shared" si="10"/>
        <v>1</v>
      </c>
      <c r="Q259" s="12">
        <f t="shared" si="11"/>
        <v>1983</v>
      </c>
    </row>
    <row r="260" spans="1:17" ht="21.75" customHeight="1" x14ac:dyDescent="0.3">
      <c r="B260" s="4">
        <v>254</v>
      </c>
      <c r="C260" s="3" t="s">
        <v>668</v>
      </c>
      <c r="D260" s="20" t="s">
        <v>669</v>
      </c>
      <c r="E260" s="7" t="s">
        <v>18</v>
      </c>
      <c r="F260" s="7" t="s">
        <v>38</v>
      </c>
      <c r="G260" s="10" t="s">
        <v>670</v>
      </c>
      <c r="H260" s="7"/>
      <c r="I260" s="7"/>
      <c r="J260" s="7"/>
      <c r="K260" s="7" t="s">
        <v>23</v>
      </c>
      <c r="L260" s="7"/>
      <c r="M260" s="7" t="s">
        <v>23</v>
      </c>
      <c r="N260" s="7" t="s">
        <v>138</v>
      </c>
      <c r="O260" s="12">
        <f t="shared" si="9"/>
        <v>1</v>
      </c>
      <c r="P260" s="12">
        <f t="shared" si="10"/>
        <v>1</v>
      </c>
      <c r="Q260" s="12">
        <f t="shared" si="11"/>
        <v>1941</v>
      </c>
    </row>
    <row r="261" spans="1:17" ht="21.75" customHeight="1" x14ac:dyDescent="0.3">
      <c r="B261" s="4">
        <v>255</v>
      </c>
      <c r="C261" s="3" t="s">
        <v>671</v>
      </c>
      <c r="D261" s="20" t="s">
        <v>672</v>
      </c>
      <c r="E261" s="7" t="s">
        <v>19</v>
      </c>
      <c r="F261" s="7" t="s">
        <v>38</v>
      </c>
      <c r="G261" s="10"/>
      <c r="H261" s="7"/>
      <c r="I261" s="7"/>
      <c r="J261" s="7"/>
      <c r="K261" s="7"/>
      <c r="L261" s="7"/>
      <c r="M261" s="7"/>
      <c r="N261" s="7"/>
      <c r="O261" s="12">
        <f t="shared" si="9"/>
        <v>1</v>
      </c>
      <c r="P261" s="12">
        <f t="shared" si="10"/>
        <v>12</v>
      </c>
      <c r="Q261" s="12">
        <f t="shared" si="11"/>
        <v>2013</v>
      </c>
    </row>
    <row r="262" spans="1:17" ht="21.75" customHeight="1" x14ac:dyDescent="0.3">
      <c r="B262" s="4">
        <v>256</v>
      </c>
      <c r="C262" s="3" t="s">
        <v>673</v>
      </c>
      <c r="D262" s="20" t="s">
        <v>674</v>
      </c>
      <c r="E262" s="7" t="s">
        <v>19</v>
      </c>
      <c r="F262" s="7" t="s">
        <v>38</v>
      </c>
      <c r="G262" s="10"/>
      <c r="H262" s="7"/>
      <c r="I262" s="7"/>
      <c r="J262" s="7"/>
      <c r="K262" s="7"/>
      <c r="L262" s="7"/>
      <c r="M262" s="7"/>
      <c r="N262" s="7"/>
      <c r="O262" s="12">
        <f t="shared" si="9"/>
        <v>16</v>
      </c>
      <c r="P262" s="12">
        <f t="shared" si="10"/>
        <v>6</v>
      </c>
      <c r="Q262" s="12">
        <f t="shared" si="11"/>
        <v>2015</v>
      </c>
    </row>
    <row r="263" spans="1:17" ht="21.75" customHeight="1" x14ac:dyDescent="0.3">
      <c r="B263" s="4">
        <v>257</v>
      </c>
      <c r="C263" s="3" t="s">
        <v>675</v>
      </c>
      <c r="D263" s="20" t="s">
        <v>676</v>
      </c>
      <c r="E263" s="7" t="s">
        <v>19</v>
      </c>
      <c r="F263" s="7" t="s">
        <v>38</v>
      </c>
      <c r="G263" s="10"/>
      <c r="H263" s="7"/>
      <c r="I263" s="7"/>
      <c r="J263" s="7"/>
      <c r="K263" s="7"/>
      <c r="L263" s="7"/>
      <c r="M263" s="7"/>
      <c r="N263" s="7"/>
      <c r="O263" s="12">
        <f t="shared" si="9"/>
        <v>30</v>
      </c>
      <c r="P263" s="12">
        <f t="shared" si="10"/>
        <v>6</v>
      </c>
      <c r="Q263" s="12">
        <f t="shared" si="11"/>
        <v>2019</v>
      </c>
    </row>
    <row r="264" spans="1:17" s="12" customFormat="1" ht="21.75" customHeight="1" x14ac:dyDescent="0.3">
      <c r="A264" s="18">
        <v>69</v>
      </c>
      <c r="B264" s="13">
        <v>258</v>
      </c>
      <c r="C264" s="14" t="s">
        <v>677</v>
      </c>
      <c r="D264" s="19" t="s">
        <v>678</v>
      </c>
      <c r="E264" s="16" t="s">
        <v>17</v>
      </c>
      <c r="F264" s="16" t="s">
        <v>38</v>
      </c>
      <c r="G264" s="15" t="s">
        <v>679</v>
      </c>
      <c r="H264" s="16" t="s">
        <v>23</v>
      </c>
      <c r="I264" s="16" t="s">
        <v>23</v>
      </c>
      <c r="J264" s="16" t="s">
        <v>23</v>
      </c>
      <c r="K264" s="16" t="s">
        <v>23</v>
      </c>
      <c r="L264" s="16" t="s">
        <v>23</v>
      </c>
      <c r="M264" s="16" t="s">
        <v>23</v>
      </c>
      <c r="N264" s="16" t="s">
        <v>24</v>
      </c>
      <c r="O264" s="12">
        <f t="shared" ref="O264:O290" si="13">DAY(D264)</f>
        <v>20</v>
      </c>
      <c r="P264" s="12">
        <f t="shared" ref="P264:P290" si="14">MONTH(D264)</f>
        <v>1</v>
      </c>
      <c r="Q264" s="12">
        <f t="shared" ref="Q264:Q290" si="15">YEAR(D264)</f>
        <v>1978</v>
      </c>
    </row>
    <row r="265" spans="1:17" ht="21.75" customHeight="1" x14ac:dyDescent="0.3">
      <c r="B265" s="4">
        <v>259</v>
      </c>
      <c r="C265" s="3" t="s">
        <v>680</v>
      </c>
      <c r="D265" s="20" t="s">
        <v>681</v>
      </c>
      <c r="E265" s="7" t="s">
        <v>18</v>
      </c>
      <c r="F265" s="7" t="s">
        <v>38</v>
      </c>
      <c r="G265" s="10" t="s">
        <v>682</v>
      </c>
      <c r="H265" s="7"/>
      <c r="I265" s="7"/>
      <c r="J265" s="7"/>
      <c r="K265" s="7" t="s">
        <v>23</v>
      </c>
      <c r="L265" s="7"/>
      <c r="M265" s="7" t="s">
        <v>23</v>
      </c>
      <c r="N265" s="7" t="s">
        <v>24</v>
      </c>
      <c r="O265" s="12">
        <f t="shared" si="13"/>
        <v>19</v>
      </c>
      <c r="P265" s="12">
        <f t="shared" si="14"/>
        <v>8</v>
      </c>
      <c r="Q265" s="12">
        <f t="shared" si="15"/>
        <v>1978</v>
      </c>
    </row>
    <row r="266" spans="1:17" ht="21.75" customHeight="1" x14ac:dyDescent="0.3">
      <c r="B266" s="4">
        <v>260</v>
      </c>
      <c r="C266" s="3" t="s">
        <v>683</v>
      </c>
      <c r="D266" s="20" t="s">
        <v>684</v>
      </c>
      <c r="E266" s="7" t="s">
        <v>19</v>
      </c>
      <c r="F266" s="7" t="s">
        <v>38</v>
      </c>
      <c r="G266" s="10" t="s">
        <v>746</v>
      </c>
      <c r="H266" s="7"/>
      <c r="I266" s="7"/>
      <c r="J266" s="7"/>
      <c r="K266" s="7" t="s">
        <v>23</v>
      </c>
      <c r="L266" s="7"/>
      <c r="M266" s="7" t="s">
        <v>23</v>
      </c>
      <c r="N266" s="7" t="s">
        <v>25</v>
      </c>
      <c r="O266" s="12">
        <f t="shared" si="13"/>
        <v>14</v>
      </c>
      <c r="P266" s="12">
        <f t="shared" si="14"/>
        <v>4</v>
      </c>
      <c r="Q266" s="12">
        <f t="shared" si="15"/>
        <v>2002</v>
      </c>
    </row>
    <row r="267" spans="1:17" ht="21.75" customHeight="1" x14ac:dyDescent="0.3">
      <c r="B267" s="4">
        <v>261</v>
      </c>
      <c r="C267" s="3" t="s">
        <v>685</v>
      </c>
      <c r="D267" s="20" t="s">
        <v>686</v>
      </c>
      <c r="E267" s="7" t="s">
        <v>19</v>
      </c>
      <c r="F267" s="7" t="s">
        <v>38</v>
      </c>
      <c r="G267" s="10" t="s">
        <v>747</v>
      </c>
      <c r="H267" s="7"/>
      <c r="I267" s="7"/>
      <c r="J267" s="7"/>
      <c r="K267" s="7" t="s">
        <v>23</v>
      </c>
      <c r="L267" s="7"/>
      <c r="M267" s="7" t="s">
        <v>23</v>
      </c>
      <c r="N267" s="7" t="s">
        <v>25</v>
      </c>
      <c r="O267" s="12">
        <f t="shared" si="13"/>
        <v>11</v>
      </c>
      <c r="P267" s="12">
        <f t="shared" si="14"/>
        <v>9</v>
      </c>
      <c r="Q267" s="12">
        <f t="shared" si="15"/>
        <v>2009</v>
      </c>
    </row>
    <row r="268" spans="1:17" s="12" customFormat="1" ht="21.75" customHeight="1" x14ac:dyDescent="0.3">
      <c r="A268" s="18">
        <v>70</v>
      </c>
      <c r="B268" s="13">
        <v>262</v>
      </c>
      <c r="C268" s="14" t="s">
        <v>687</v>
      </c>
      <c r="D268" s="19" t="s">
        <v>688</v>
      </c>
      <c r="E268" s="16" t="s">
        <v>17</v>
      </c>
      <c r="F268" s="16" t="s">
        <v>38</v>
      </c>
      <c r="G268" s="15" t="s">
        <v>689</v>
      </c>
      <c r="H268" s="16" t="s">
        <v>23</v>
      </c>
      <c r="I268" s="16" t="s">
        <v>23</v>
      </c>
      <c r="J268" s="16" t="s">
        <v>23</v>
      </c>
      <c r="K268" s="16" t="s">
        <v>23</v>
      </c>
      <c r="L268" s="16" t="s">
        <v>23</v>
      </c>
      <c r="M268" s="16" t="s">
        <v>23</v>
      </c>
      <c r="N268" s="16" t="s">
        <v>24</v>
      </c>
      <c r="O268" s="12">
        <f t="shared" si="13"/>
        <v>5</v>
      </c>
      <c r="P268" s="12">
        <f t="shared" si="14"/>
        <v>9</v>
      </c>
      <c r="Q268" s="12">
        <f t="shared" si="15"/>
        <v>1973</v>
      </c>
    </row>
    <row r="269" spans="1:17" ht="21.75" customHeight="1" x14ac:dyDescent="0.3">
      <c r="B269" s="4">
        <v>263</v>
      </c>
      <c r="C269" s="3" t="s">
        <v>690</v>
      </c>
      <c r="D269" s="20" t="s">
        <v>691</v>
      </c>
      <c r="E269" s="7" t="s">
        <v>18</v>
      </c>
      <c r="F269" s="7" t="s">
        <v>38</v>
      </c>
      <c r="G269" s="10" t="s">
        <v>692</v>
      </c>
      <c r="H269" s="7"/>
      <c r="I269" s="7"/>
      <c r="J269" s="7"/>
      <c r="K269" s="7" t="s">
        <v>23</v>
      </c>
      <c r="L269" s="7"/>
      <c r="M269" s="7" t="s">
        <v>23</v>
      </c>
      <c r="N269" s="7" t="s">
        <v>42</v>
      </c>
      <c r="O269" s="12">
        <f t="shared" si="13"/>
        <v>3</v>
      </c>
      <c r="P269" s="12">
        <f t="shared" si="14"/>
        <v>1</v>
      </c>
      <c r="Q269" s="12">
        <f t="shared" si="15"/>
        <v>1973</v>
      </c>
    </row>
    <row r="270" spans="1:17" ht="21.75" customHeight="1" x14ac:dyDescent="0.3">
      <c r="B270" s="4">
        <v>264</v>
      </c>
      <c r="C270" s="3" t="s">
        <v>693</v>
      </c>
      <c r="D270" s="20" t="s">
        <v>694</v>
      </c>
      <c r="E270" s="7" t="s">
        <v>19</v>
      </c>
      <c r="F270" s="7" t="s">
        <v>38</v>
      </c>
      <c r="G270" s="10" t="s">
        <v>749</v>
      </c>
      <c r="H270" s="7"/>
      <c r="I270" s="7"/>
      <c r="J270" s="7"/>
      <c r="K270" s="7" t="s">
        <v>23</v>
      </c>
      <c r="L270" s="7"/>
      <c r="M270" s="7" t="s">
        <v>23</v>
      </c>
      <c r="N270" s="7" t="s">
        <v>24</v>
      </c>
      <c r="O270" s="12">
        <f t="shared" si="13"/>
        <v>15</v>
      </c>
      <c r="P270" s="12">
        <f t="shared" si="14"/>
        <v>8</v>
      </c>
      <c r="Q270" s="12">
        <f t="shared" si="15"/>
        <v>1994</v>
      </c>
    </row>
    <row r="271" spans="1:17" ht="21.75" customHeight="1" x14ac:dyDescent="0.3">
      <c r="B271" s="4">
        <v>265</v>
      </c>
      <c r="C271" s="3" t="s">
        <v>695</v>
      </c>
      <c r="D271" s="20" t="s">
        <v>696</v>
      </c>
      <c r="E271" s="7" t="s">
        <v>19</v>
      </c>
      <c r="F271" s="7" t="s">
        <v>38</v>
      </c>
      <c r="G271" s="10" t="s">
        <v>748</v>
      </c>
      <c r="H271" s="7"/>
      <c r="I271" s="7"/>
      <c r="J271" s="7"/>
      <c r="K271" s="7" t="s">
        <v>23</v>
      </c>
      <c r="L271" s="7"/>
      <c r="M271" s="7" t="s">
        <v>23</v>
      </c>
      <c r="N271" s="7" t="s">
        <v>25</v>
      </c>
      <c r="O271" s="12">
        <f t="shared" si="13"/>
        <v>12</v>
      </c>
      <c r="P271" s="12">
        <f t="shared" si="14"/>
        <v>7</v>
      </c>
      <c r="Q271" s="12">
        <f t="shared" si="15"/>
        <v>2004</v>
      </c>
    </row>
    <row r="272" spans="1:17" ht="21.75" customHeight="1" x14ac:dyDescent="0.3">
      <c r="B272" s="4">
        <v>266</v>
      </c>
      <c r="C272" s="3" t="s">
        <v>697</v>
      </c>
      <c r="D272" s="20" t="s">
        <v>698</v>
      </c>
      <c r="E272" s="7" t="s">
        <v>19</v>
      </c>
      <c r="F272" s="7" t="s">
        <v>38</v>
      </c>
      <c r="G272" s="10"/>
      <c r="H272" s="7"/>
      <c r="I272" s="7"/>
      <c r="J272" s="7"/>
      <c r="K272" s="7"/>
      <c r="L272" s="7"/>
      <c r="M272" s="7"/>
      <c r="N272" s="7"/>
      <c r="O272" s="12">
        <f t="shared" si="13"/>
        <v>25</v>
      </c>
      <c r="P272" s="12">
        <f t="shared" si="14"/>
        <v>5</v>
      </c>
      <c r="Q272" s="12">
        <f t="shared" si="15"/>
        <v>2015</v>
      </c>
    </row>
    <row r="273" spans="1:17" s="12" customFormat="1" ht="21.75" customHeight="1" x14ac:dyDescent="0.3">
      <c r="A273" s="18">
        <v>71</v>
      </c>
      <c r="B273" s="13">
        <v>267</v>
      </c>
      <c r="C273" s="14" t="s">
        <v>699</v>
      </c>
      <c r="D273" s="19" t="s">
        <v>700</v>
      </c>
      <c r="E273" s="16" t="s">
        <v>17</v>
      </c>
      <c r="F273" s="16" t="s">
        <v>38</v>
      </c>
      <c r="G273" s="15" t="s">
        <v>701</v>
      </c>
      <c r="H273" s="16" t="s">
        <v>23</v>
      </c>
      <c r="I273" s="16" t="s">
        <v>23</v>
      </c>
      <c r="J273" s="16" t="s">
        <v>23</v>
      </c>
      <c r="K273" s="16" t="s">
        <v>23</v>
      </c>
      <c r="L273" s="16" t="s">
        <v>23</v>
      </c>
      <c r="M273" s="16" t="s">
        <v>23</v>
      </c>
      <c r="N273" s="16" t="s">
        <v>42</v>
      </c>
      <c r="O273" s="12">
        <f t="shared" si="13"/>
        <v>11</v>
      </c>
      <c r="P273" s="12">
        <f t="shared" si="14"/>
        <v>5</v>
      </c>
      <c r="Q273" s="12">
        <f t="shared" si="15"/>
        <v>1970</v>
      </c>
    </row>
    <row r="274" spans="1:17" ht="21.75" customHeight="1" x14ac:dyDescent="0.3">
      <c r="B274" s="4">
        <v>268</v>
      </c>
      <c r="C274" s="3" t="s">
        <v>702</v>
      </c>
      <c r="D274" s="20" t="s">
        <v>206</v>
      </c>
      <c r="E274" s="7" t="s">
        <v>18</v>
      </c>
      <c r="F274" s="7" t="s">
        <v>38</v>
      </c>
      <c r="G274" s="10" t="s">
        <v>703</v>
      </c>
      <c r="H274" s="7"/>
      <c r="I274" s="7"/>
      <c r="J274" s="7"/>
      <c r="K274" s="7" t="s">
        <v>23</v>
      </c>
      <c r="L274" s="7"/>
      <c r="M274" s="7" t="s">
        <v>23</v>
      </c>
      <c r="N274" s="7" t="s">
        <v>24</v>
      </c>
      <c r="O274" s="12">
        <f t="shared" si="13"/>
        <v>1</v>
      </c>
      <c r="P274" s="12">
        <f t="shared" si="14"/>
        <v>1</v>
      </c>
      <c r="Q274" s="12">
        <f t="shared" si="15"/>
        <v>1980</v>
      </c>
    </row>
    <row r="275" spans="1:17" ht="21.75" customHeight="1" x14ac:dyDescent="0.3">
      <c r="B275" s="4">
        <v>269</v>
      </c>
      <c r="C275" s="3" t="s">
        <v>704</v>
      </c>
      <c r="D275" s="20" t="s">
        <v>705</v>
      </c>
      <c r="E275" s="7" t="s">
        <v>19</v>
      </c>
      <c r="F275" s="7" t="s">
        <v>38</v>
      </c>
      <c r="G275" s="10"/>
      <c r="H275" s="7"/>
      <c r="I275" s="7"/>
      <c r="J275" s="7"/>
      <c r="K275" s="7" t="s">
        <v>23</v>
      </c>
      <c r="L275" s="7"/>
      <c r="M275" s="7" t="s">
        <v>23</v>
      </c>
      <c r="N275" s="7" t="s">
        <v>24</v>
      </c>
      <c r="O275" s="12">
        <f t="shared" si="13"/>
        <v>29</v>
      </c>
      <c r="P275" s="12">
        <f t="shared" si="14"/>
        <v>3</v>
      </c>
      <c r="Q275" s="12">
        <f t="shared" si="15"/>
        <v>2003</v>
      </c>
    </row>
    <row r="276" spans="1:17" ht="21.75" customHeight="1" x14ac:dyDescent="0.3">
      <c r="B276" s="4">
        <v>270</v>
      </c>
      <c r="C276" s="3" t="s">
        <v>706</v>
      </c>
      <c r="D276" s="20" t="s">
        <v>619</v>
      </c>
      <c r="E276" s="7" t="s">
        <v>19</v>
      </c>
      <c r="F276" s="7" t="s">
        <v>38</v>
      </c>
      <c r="G276" s="10"/>
      <c r="H276" s="7"/>
      <c r="I276" s="7"/>
      <c r="J276" s="7"/>
      <c r="K276" s="7" t="s">
        <v>23</v>
      </c>
      <c r="L276" s="7"/>
      <c r="M276" s="7"/>
      <c r="N276" s="7"/>
      <c r="O276" s="12">
        <f t="shared" si="13"/>
        <v>1</v>
      </c>
      <c r="P276" s="12">
        <f t="shared" si="14"/>
        <v>1</v>
      </c>
      <c r="Q276" s="12">
        <f t="shared" si="15"/>
        <v>2009</v>
      </c>
    </row>
    <row r="277" spans="1:17" s="12" customFormat="1" ht="21.75" customHeight="1" x14ac:dyDescent="0.3">
      <c r="A277" s="18">
        <v>72</v>
      </c>
      <c r="B277" s="13">
        <v>271</v>
      </c>
      <c r="C277" s="14" t="s">
        <v>707</v>
      </c>
      <c r="D277" s="19" t="s">
        <v>708</v>
      </c>
      <c r="E277" s="16" t="s">
        <v>17</v>
      </c>
      <c r="F277" s="16" t="s">
        <v>38</v>
      </c>
      <c r="G277" s="15" t="s">
        <v>709</v>
      </c>
      <c r="H277" s="16" t="s">
        <v>23</v>
      </c>
      <c r="I277" s="16" t="s">
        <v>23</v>
      </c>
      <c r="J277" s="16" t="s">
        <v>23</v>
      </c>
      <c r="K277" s="16"/>
      <c r="L277" s="16" t="s">
        <v>23</v>
      </c>
      <c r="M277" s="16"/>
      <c r="N277" s="16"/>
      <c r="O277" s="12">
        <f t="shared" si="13"/>
        <v>1</v>
      </c>
      <c r="P277" s="12">
        <f t="shared" si="14"/>
        <v>1</v>
      </c>
      <c r="Q277" s="12">
        <f t="shared" si="15"/>
        <v>1936</v>
      </c>
    </row>
    <row r="278" spans="1:17" ht="21.75" customHeight="1" x14ac:dyDescent="0.3">
      <c r="B278" s="4">
        <v>272</v>
      </c>
      <c r="C278" s="3" t="s">
        <v>710</v>
      </c>
      <c r="D278" s="20" t="s">
        <v>711</v>
      </c>
      <c r="E278" s="7" t="s">
        <v>18</v>
      </c>
      <c r="F278" s="7" t="s">
        <v>38</v>
      </c>
      <c r="G278" s="10" t="s">
        <v>709</v>
      </c>
      <c r="H278" s="7"/>
      <c r="I278" s="7"/>
      <c r="J278" s="7"/>
      <c r="K278" s="7"/>
      <c r="L278" s="7"/>
      <c r="M278" s="7"/>
      <c r="N278" s="7"/>
      <c r="O278" s="12">
        <f t="shared" si="13"/>
        <v>1</v>
      </c>
      <c r="P278" s="12">
        <f t="shared" si="14"/>
        <v>1</v>
      </c>
      <c r="Q278" s="12">
        <f t="shared" si="15"/>
        <v>1937</v>
      </c>
    </row>
    <row r="279" spans="1:17" ht="21.75" customHeight="1" x14ac:dyDescent="0.3">
      <c r="B279" s="4">
        <v>273</v>
      </c>
      <c r="C279" s="3" t="s">
        <v>487</v>
      </c>
      <c r="D279" s="20" t="s">
        <v>712</v>
      </c>
      <c r="E279" s="7" t="s">
        <v>19</v>
      </c>
      <c r="F279" s="7" t="s">
        <v>38</v>
      </c>
      <c r="G279" s="10" t="s">
        <v>709</v>
      </c>
      <c r="H279" s="7"/>
      <c r="I279" s="7"/>
      <c r="J279" s="7"/>
      <c r="K279" s="7" t="s">
        <v>23</v>
      </c>
      <c r="L279" s="7"/>
      <c r="M279" s="7" t="s">
        <v>23</v>
      </c>
      <c r="N279" s="7" t="s">
        <v>24</v>
      </c>
      <c r="O279" s="12">
        <f t="shared" si="13"/>
        <v>1</v>
      </c>
      <c r="P279" s="12">
        <f t="shared" si="14"/>
        <v>1</v>
      </c>
      <c r="Q279" s="12">
        <f t="shared" si="15"/>
        <v>1982</v>
      </c>
    </row>
    <row r="280" spans="1:17" ht="21.75" customHeight="1" x14ac:dyDescent="0.3">
      <c r="B280" s="4">
        <v>274</v>
      </c>
      <c r="C280" s="3" t="s">
        <v>713</v>
      </c>
      <c r="D280" s="20" t="s">
        <v>714</v>
      </c>
      <c r="E280" s="7" t="s">
        <v>21</v>
      </c>
      <c r="F280" s="7" t="s">
        <v>38</v>
      </c>
      <c r="G280" s="10" t="s">
        <v>750</v>
      </c>
      <c r="H280" s="7"/>
      <c r="I280" s="7"/>
      <c r="J280" s="7"/>
      <c r="K280" s="7" t="s">
        <v>23</v>
      </c>
      <c r="L280" s="7"/>
      <c r="M280" s="7" t="s">
        <v>23</v>
      </c>
      <c r="N280" s="7" t="s">
        <v>24</v>
      </c>
      <c r="O280" s="12">
        <f t="shared" si="13"/>
        <v>10</v>
      </c>
      <c r="P280" s="12">
        <f t="shared" si="14"/>
        <v>9</v>
      </c>
      <c r="Q280" s="12">
        <f t="shared" si="15"/>
        <v>1982</v>
      </c>
    </row>
    <row r="281" spans="1:17" ht="21.75" customHeight="1" x14ac:dyDescent="0.3">
      <c r="B281" s="4">
        <v>275</v>
      </c>
      <c r="C281" s="3" t="s">
        <v>715</v>
      </c>
      <c r="D281" s="20" t="s">
        <v>716</v>
      </c>
      <c r="E281" s="7" t="s">
        <v>22</v>
      </c>
      <c r="F281" s="7" t="s">
        <v>38</v>
      </c>
      <c r="G281" s="10" t="s">
        <v>751</v>
      </c>
      <c r="H281" s="7"/>
      <c r="I281" s="7"/>
      <c r="J281" s="7"/>
      <c r="K281" s="7" t="s">
        <v>23</v>
      </c>
      <c r="L281" s="7"/>
      <c r="M281" s="7" t="s">
        <v>23</v>
      </c>
      <c r="N281" s="7" t="s">
        <v>25</v>
      </c>
      <c r="O281" s="12">
        <f t="shared" si="13"/>
        <v>12</v>
      </c>
      <c r="P281" s="12">
        <f t="shared" si="14"/>
        <v>9</v>
      </c>
      <c r="Q281" s="12">
        <f t="shared" si="15"/>
        <v>2005</v>
      </c>
    </row>
    <row r="282" spans="1:17" ht="21.75" customHeight="1" x14ac:dyDescent="0.3">
      <c r="B282" s="4">
        <v>276</v>
      </c>
      <c r="C282" s="3" t="s">
        <v>717</v>
      </c>
      <c r="D282" s="20" t="s">
        <v>718</v>
      </c>
      <c r="E282" s="7" t="s">
        <v>22</v>
      </c>
      <c r="F282" s="7" t="s">
        <v>38</v>
      </c>
      <c r="G282" s="10"/>
      <c r="H282" s="7"/>
      <c r="I282" s="7"/>
      <c r="J282" s="7"/>
      <c r="K282" s="7"/>
      <c r="L282" s="7"/>
      <c r="M282" s="7"/>
      <c r="N282" s="7"/>
      <c r="O282" s="12">
        <f t="shared" si="13"/>
        <v>6</v>
      </c>
      <c r="P282" s="12">
        <f t="shared" si="14"/>
        <v>4</v>
      </c>
      <c r="Q282" s="12">
        <f t="shared" si="15"/>
        <v>2015</v>
      </c>
    </row>
    <row r="283" spans="1:17" s="12" customFormat="1" ht="21.75" customHeight="1" x14ac:dyDescent="0.3">
      <c r="A283" s="18">
        <v>73</v>
      </c>
      <c r="B283" s="13">
        <v>277</v>
      </c>
      <c r="C283" s="14" t="s">
        <v>719</v>
      </c>
      <c r="D283" s="19" t="s">
        <v>720</v>
      </c>
      <c r="E283" s="16" t="s">
        <v>17</v>
      </c>
      <c r="F283" s="16" t="s">
        <v>38</v>
      </c>
      <c r="G283" s="15" t="s">
        <v>721</v>
      </c>
      <c r="H283" s="16" t="s">
        <v>23</v>
      </c>
      <c r="I283" s="16" t="s">
        <v>23</v>
      </c>
      <c r="J283" s="16" t="s">
        <v>23</v>
      </c>
      <c r="K283" s="16" t="s">
        <v>23</v>
      </c>
      <c r="L283" s="16" t="s">
        <v>23</v>
      </c>
      <c r="M283" s="16" t="s">
        <v>23</v>
      </c>
      <c r="N283" s="16" t="s">
        <v>24</v>
      </c>
      <c r="O283" s="12">
        <f t="shared" si="13"/>
        <v>1</v>
      </c>
      <c r="P283" s="12">
        <f t="shared" si="14"/>
        <v>1</v>
      </c>
      <c r="Q283" s="12">
        <f t="shared" si="15"/>
        <v>1963</v>
      </c>
    </row>
    <row r="284" spans="1:17" ht="21.75" customHeight="1" x14ac:dyDescent="0.3">
      <c r="B284" s="4">
        <v>278</v>
      </c>
      <c r="C284" s="3" t="s">
        <v>722</v>
      </c>
      <c r="D284" s="20" t="s">
        <v>723</v>
      </c>
      <c r="E284" s="7" t="s">
        <v>18</v>
      </c>
      <c r="F284" s="7" t="s">
        <v>38</v>
      </c>
      <c r="G284" s="10" t="s">
        <v>724</v>
      </c>
      <c r="H284" s="7"/>
      <c r="I284" s="7"/>
      <c r="J284" s="7"/>
      <c r="K284" s="7" t="s">
        <v>23</v>
      </c>
      <c r="L284" s="7"/>
      <c r="M284" s="7" t="s">
        <v>23</v>
      </c>
      <c r="N284" s="7" t="s">
        <v>42</v>
      </c>
      <c r="O284" s="12">
        <f t="shared" si="13"/>
        <v>30</v>
      </c>
      <c r="P284" s="12">
        <f t="shared" si="14"/>
        <v>1</v>
      </c>
      <c r="Q284" s="12">
        <f t="shared" si="15"/>
        <v>1968</v>
      </c>
    </row>
    <row r="285" spans="1:17" ht="21.75" customHeight="1" x14ac:dyDescent="0.3">
      <c r="B285" s="13">
        <v>279</v>
      </c>
      <c r="C285" s="3" t="s">
        <v>725</v>
      </c>
      <c r="D285" s="20" t="s">
        <v>726</v>
      </c>
      <c r="E285" s="7" t="s">
        <v>19</v>
      </c>
      <c r="F285" s="7" t="s">
        <v>38</v>
      </c>
      <c r="G285" s="10" t="s">
        <v>752</v>
      </c>
      <c r="H285" s="7"/>
      <c r="I285" s="7"/>
      <c r="J285" s="7"/>
      <c r="K285" s="7" t="s">
        <v>23</v>
      </c>
      <c r="L285" s="7"/>
      <c r="M285" s="7" t="s">
        <v>23</v>
      </c>
      <c r="N285" s="7" t="s">
        <v>25</v>
      </c>
      <c r="O285" s="12">
        <f t="shared" si="13"/>
        <v>22</v>
      </c>
      <c r="P285" s="12">
        <f t="shared" si="14"/>
        <v>12</v>
      </c>
      <c r="Q285" s="12">
        <f t="shared" si="15"/>
        <v>1996</v>
      </c>
    </row>
    <row r="286" spans="1:17" s="12" customFormat="1" ht="21.75" customHeight="1" x14ac:dyDescent="0.3">
      <c r="A286" s="18">
        <v>74</v>
      </c>
      <c r="B286" s="13">
        <v>280</v>
      </c>
      <c r="C286" s="14" t="s">
        <v>727</v>
      </c>
      <c r="D286" s="19" t="s">
        <v>593</v>
      </c>
      <c r="E286" s="16" t="s">
        <v>17</v>
      </c>
      <c r="F286" s="16" t="s">
        <v>38</v>
      </c>
      <c r="G286" s="15" t="s">
        <v>728</v>
      </c>
      <c r="H286" s="16" t="s">
        <v>23</v>
      </c>
      <c r="I286" s="16" t="s">
        <v>23</v>
      </c>
      <c r="J286" s="16" t="s">
        <v>23</v>
      </c>
      <c r="K286" s="16" t="s">
        <v>23</v>
      </c>
      <c r="L286" s="16" t="s">
        <v>23</v>
      </c>
      <c r="M286" s="16" t="s">
        <v>23</v>
      </c>
      <c r="N286" s="16" t="s">
        <v>27</v>
      </c>
      <c r="O286" s="12">
        <f t="shared" si="13"/>
        <v>1</v>
      </c>
      <c r="P286" s="12">
        <f t="shared" si="14"/>
        <v>1</v>
      </c>
      <c r="Q286" s="12">
        <f t="shared" si="15"/>
        <v>1972</v>
      </c>
    </row>
    <row r="287" spans="1:17" ht="21.75" customHeight="1" x14ac:dyDescent="0.3">
      <c r="B287" s="4">
        <v>281</v>
      </c>
      <c r="C287" s="3" t="s">
        <v>729</v>
      </c>
      <c r="D287" s="20" t="s">
        <v>730</v>
      </c>
      <c r="E287" s="7" t="s">
        <v>18</v>
      </c>
      <c r="F287" s="7" t="s">
        <v>38</v>
      </c>
      <c r="G287" s="10" t="s">
        <v>731</v>
      </c>
      <c r="H287" s="7"/>
      <c r="I287" s="7"/>
      <c r="J287" s="7"/>
      <c r="K287" s="7" t="s">
        <v>23</v>
      </c>
      <c r="L287" s="7"/>
      <c r="M287" s="7" t="s">
        <v>23</v>
      </c>
      <c r="N287" s="7" t="s">
        <v>24</v>
      </c>
      <c r="O287" s="12">
        <f t="shared" si="13"/>
        <v>8</v>
      </c>
      <c r="P287" s="12">
        <f t="shared" si="14"/>
        <v>8</v>
      </c>
      <c r="Q287" s="12">
        <f t="shared" si="15"/>
        <v>1976</v>
      </c>
    </row>
    <row r="288" spans="1:17" ht="21.75" customHeight="1" x14ac:dyDescent="0.3">
      <c r="B288" s="4">
        <v>282</v>
      </c>
      <c r="C288" s="3" t="s">
        <v>732</v>
      </c>
      <c r="D288" s="20" t="s">
        <v>733</v>
      </c>
      <c r="E288" s="7" t="s">
        <v>19</v>
      </c>
      <c r="F288" s="7" t="s">
        <v>38</v>
      </c>
      <c r="G288" s="10" t="s">
        <v>734</v>
      </c>
      <c r="H288" s="7"/>
      <c r="I288" s="7"/>
      <c r="J288" s="7"/>
      <c r="K288" s="7" t="s">
        <v>23</v>
      </c>
      <c r="L288" s="7"/>
      <c r="M288" s="7" t="s">
        <v>23</v>
      </c>
      <c r="N288" s="7" t="s">
        <v>25</v>
      </c>
      <c r="O288" s="12">
        <f t="shared" si="13"/>
        <v>9</v>
      </c>
      <c r="P288" s="12">
        <f t="shared" si="14"/>
        <v>8</v>
      </c>
      <c r="Q288" s="12">
        <f t="shared" si="15"/>
        <v>1998</v>
      </c>
    </row>
    <row r="289" spans="2:17" ht="21.75" customHeight="1" x14ac:dyDescent="0.3">
      <c r="B289" s="4">
        <v>283</v>
      </c>
      <c r="C289" s="3" t="s">
        <v>735</v>
      </c>
      <c r="D289" s="20" t="s">
        <v>736</v>
      </c>
      <c r="E289" s="7" t="s">
        <v>19</v>
      </c>
      <c r="F289" s="7" t="s">
        <v>38</v>
      </c>
      <c r="G289" s="10" t="s">
        <v>737</v>
      </c>
      <c r="H289" s="7"/>
      <c r="I289" s="7"/>
      <c r="J289" s="7"/>
      <c r="K289" s="7" t="s">
        <v>23</v>
      </c>
      <c r="L289" s="7"/>
      <c r="M289" s="7" t="s">
        <v>23</v>
      </c>
      <c r="N289" s="7" t="s">
        <v>25</v>
      </c>
      <c r="O289" s="12">
        <f t="shared" si="13"/>
        <v>1</v>
      </c>
      <c r="P289" s="12">
        <f t="shared" si="14"/>
        <v>1</v>
      </c>
      <c r="Q289" s="12">
        <f t="shared" si="15"/>
        <v>2002</v>
      </c>
    </row>
    <row r="290" spans="2:17" ht="21.75" customHeight="1" x14ac:dyDescent="0.3">
      <c r="B290" s="4">
        <v>284</v>
      </c>
      <c r="C290" s="3" t="s">
        <v>738</v>
      </c>
      <c r="D290" s="20" t="s">
        <v>739</v>
      </c>
      <c r="E290" s="7" t="s">
        <v>19</v>
      </c>
      <c r="F290" s="7" t="s">
        <v>38</v>
      </c>
      <c r="G290" s="10" t="s">
        <v>740</v>
      </c>
      <c r="H290" s="7"/>
      <c r="I290" s="7"/>
      <c r="J290" s="7"/>
      <c r="K290" s="7" t="s">
        <v>23</v>
      </c>
      <c r="L290" s="7"/>
      <c r="M290" s="7" t="s">
        <v>23</v>
      </c>
      <c r="N290" s="7" t="s">
        <v>25</v>
      </c>
      <c r="O290" s="12">
        <f t="shared" si="13"/>
        <v>15</v>
      </c>
      <c r="P290" s="12">
        <f t="shared" si="14"/>
        <v>6</v>
      </c>
      <c r="Q290" s="12">
        <f t="shared" si="15"/>
        <v>2006</v>
      </c>
    </row>
    <row r="291" spans="2:17" ht="21.75" customHeight="1" x14ac:dyDescent="0.3">
      <c r="B291" s="46" t="s">
        <v>754</v>
      </c>
      <c r="C291" s="47"/>
      <c r="D291" s="47"/>
      <c r="E291" s="47"/>
      <c r="F291" s="47"/>
      <c r="G291" s="48"/>
      <c r="H291" s="16">
        <f t="shared" ref="H291:M291" si="16">COUNTA(H7:H290)</f>
        <v>74</v>
      </c>
      <c r="I291" s="16">
        <f t="shared" si="16"/>
        <v>74</v>
      </c>
      <c r="J291" s="16">
        <f t="shared" si="16"/>
        <v>72</v>
      </c>
      <c r="K291" s="16">
        <f t="shared" si="16"/>
        <v>194</v>
      </c>
      <c r="L291" s="16">
        <f t="shared" si="16"/>
        <v>65</v>
      </c>
      <c r="M291" s="16">
        <f t="shared" si="16"/>
        <v>194</v>
      </c>
      <c r="N291" s="7"/>
    </row>
    <row r="292" spans="2:17" ht="21.75" customHeight="1" x14ac:dyDescent="0.3"/>
    <row r="293" spans="2:17" ht="21.75" customHeight="1" x14ac:dyDescent="0.3"/>
  </sheetData>
  <autoFilter ref="A5:Q290">
    <filterColumn colId="12" showButton="0"/>
  </autoFilter>
  <mergeCells count="20">
    <mergeCell ref="B291:G291"/>
    <mergeCell ref="M5:N5"/>
    <mergeCell ref="L5:L6"/>
    <mergeCell ref="K5:K6"/>
    <mergeCell ref="J5:J6"/>
    <mergeCell ref="I5:I6"/>
    <mergeCell ref="A5:A6"/>
    <mergeCell ref="H5:H6"/>
    <mergeCell ref="D5:D6"/>
    <mergeCell ref="C5:C6"/>
    <mergeCell ref="B5:B6"/>
    <mergeCell ref="G5:G6"/>
    <mergeCell ref="F5:F6"/>
    <mergeCell ref="E5:E6"/>
    <mergeCell ref="B4:H4"/>
    <mergeCell ref="B3:N3"/>
    <mergeCell ref="B1:D1"/>
    <mergeCell ref="B2:D2"/>
    <mergeCell ref="F1:N1"/>
    <mergeCell ref="F2:N2"/>
  </mergeCells>
  <pageMargins left="0.28000000000000003" right="0" top="0.25" bottom="0.2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2024-11-07T00:38:57Z</cp:lastPrinted>
  <dcterms:created xsi:type="dcterms:W3CDTF">2024-09-16T02:20:33Z</dcterms:created>
  <dcterms:modified xsi:type="dcterms:W3CDTF">2024-11-11T09:40:18Z</dcterms:modified>
</cp:coreProperties>
</file>